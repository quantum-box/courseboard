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66235d704c43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設定・説明" sheetId="1" r:id="Rcf11fd7e8b0b47b4"/>
    <x:sheet xmlns:r="http://schemas.openxmlformats.org/officeDocument/2006/relationships" name="キャディ条件" sheetId="2" r:id="Re52a65fec4914587"/>
    <x:sheet xmlns:r="http://schemas.openxmlformats.org/officeDocument/2006/relationships" name="ラウンド入力" sheetId="3" r:id="R89f6e98413214c12"/>
    <x:sheet xmlns:r="http://schemas.openxmlformats.org/officeDocument/2006/relationships" name="割当シミュレーション" sheetId="4" r:id="R0b0e36ea280740a8"/>
    <x:sheet xmlns:r="http://schemas.openxmlformats.org/officeDocument/2006/relationships" name="個人集計" sheetId="5" r:id="R1f8721b9b67849c4"/>
    <x:sheet xmlns:r="http://schemas.openxmlformats.org/officeDocument/2006/relationships" name="シチュエーション例" sheetId="6" r:id="Rd66f3fcf7f67403b"/>
  </x:sheets>
</x:workbook>
</file>

<file path=xl/comments1.xml><?xml version="1.0" encoding="utf-8"?>
<x:comments xmlns:x="http://schemas.openxmlformats.org/spreadsheetml/2006/main">
  <x:authors>
    <x:author>tc={CB6272FC-33C8-4F64-9B09-F10D105AD59B}</x:author>
    <x:author>tc={EBEBC430-A8BF-4E0C-9FAC-6CDB406E34BB}</x:author>
  </x:authors>
  <x:commentList>
    <x:comment ref="F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有効スコアは負数でも割当可能です。-9999だけをHard不適合の番兵値として扱います。</x:t>
        </x:r>
      </x:text>
    </x:comment>
    <x:comment ref="L4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公平性は既存実績に先行行の今回割当を加えて再計算します。2R希望ボーナスは成立可能なペアにだけ適用します。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#,##0"/>
    <x:numFmt numFmtId="202" formatCode="¥#,##0"/>
    <x:numFmt numFmtId="203" formatCode="yyyy-mm-dd hh:mm"/>
    <x:numFmt numFmtId="204" formatCode="hh:mm"/>
    <x:numFmt numFmtId="205" formatCode="0"/>
  </x:numFmts>
  <x:fonts count="3">
    <x:font>
      <x:sz val="11"/>
      <x:name val="Carlito"/>
    </x:font>
    <x:font>
      <x:b/>
      <x:sz val="18"/>
      <x:color rgb="FFFFFFFF"/>
      <x:name val="Aptos Display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234E3A"/>
      </x:patternFill>
    </x:fill>
    <x:fill>
      <x:patternFill patternType="solid">
        <x:fgColor rgb="FFE8F1EA"/>
      </x:patternFill>
    </x:fill>
    <x:fill>
      <x:patternFill patternType="solid">
        <x:fgColor rgb="FF3E7251"/>
      </x:patternFill>
    </x:fill>
    <x:fill>
      <x:patternFill patternType="solid">
        <x:fgColor rgb="FFE8F2FA"/>
      </x:patternFill>
    </x:fill>
    <x:fill>
      <x:patternFill patternType="solid">
        <x:fgColor rgb="FFF3F5F4"/>
      </x:patternFill>
    </x:fill>
    <x:fill>
      <x:patternFill patternType="solid">
        <x:fgColor rgb="FFFFF4D6"/>
      </x:patternFill>
    </x:fill>
    <x:fill>
      <x:patternFill patternType="solid">
        <x:fgColor rgb="FF3E7858"/>
      </x:patternFill>
    </x:fill>
    <x:fill>
      <x:patternFill patternType="solid">
        <x:fgColor rgb="FFEEF5F1"/>
      </x:patternFill>
    </x:fill>
  </x:fills>
  <x:borders count="17">
    <x:border/>
    <x:border>
      <x:left style="thin">
        <x:color rgb="FF234E3A"/>
      </x:left>
      <x:top style="thin">
        <x:color rgb="FF234E3A"/>
      </x:top>
      <x:bottom style="thin">
        <x:color rgb="FF234E3A"/>
      </x:bottom>
    </x:border>
    <x:border>
      <x:right style="thin">
        <x:color rgb="FF234E3A"/>
      </x:right>
      <x:top style="thin">
        <x:color rgb="FF234E3A"/>
      </x:top>
      <x:bottom style="thin">
        <x:color rgb="FF234E3A"/>
      </x:bottom>
    </x:border>
    <x:border>
      <x:right style="thin">
        <x:color rgb="FFCAD5CE"/>
      </x:right>
      <x:bottom style="thin">
        <x:color rgb="FFCAD5CE"/>
      </x:bottom>
    </x:border>
    <x:border>
      <x:left style="thin">
        <x:color rgb="FFCAD5CE"/>
      </x:left>
      <x:bottom style="thin">
        <x:color rgb="FFCAD5CE"/>
      </x:bottom>
    </x:border>
    <x:border>
      <x:right style="thin">
        <x:color rgb="FFCAD5CE"/>
      </x:right>
      <x:top style="thin">
        <x:color rgb="FFCAD5CE"/>
      </x:top>
      <x:bottom style="thin">
        <x:color rgb="FFCAD5CE"/>
      </x:bottom>
    </x:border>
    <x:border>
      <x:left style="thin">
        <x:color rgb="FFCAD5CE"/>
      </x:left>
      <x:top style="thin">
        <x:color rgb="FFCAD5CE"/>
      </x:top>
      <x:bottom style="thin">
        <x:color rgb="FFCAD5CE"/>
      </x:bottom>
    </x:border>
    <x:border>
      <x:right style="thin">
        <x:color rgb="FFCAD5CE"/>
      </x:right>
      <x:top style="thin">
        <x:color rgb="FFCAD5CE"/>
      </x:top>
    </x:border>
    <x:border>
      <x:left style="thin">
        <x:color rgb="FFCAD5CE"/>
      </x:left>
      <x:top style="thin">
        <x:color rgb="FFCAD5CE"/>
      </x:top>
    </x:border>
    <x:border>
      <x:top style="thin">
        <x:color rgb="FF234E3A"/>
      </x:top>
      <x:bottom style="thin">
        <x:color rgb="FF234E3A"/>
      </x:bottom>
    </x:border>
    <x:border>
      <x:left style="thin">
        <x:color rgb="FFCAD5CE"/>
      </x:left>
      <x:right style="thin">
        <x:color rgb="FFCAD5CE"/>
      </x:right>
      <x:bottom style="thin">
        <x:color rgb="FFCAD5CE"/>
      </x:bottom>
    </x:border>
    <x:border>
      <x:left style="thin">
        <x:color rgb="FFCAD5CE"/>
      </x:left>
      <x:right style="thin">
        <x:color rgb="FFCAD5CE"/>
      </x:right>
      <x:top style="thin">
        <x:color rgb="FFCAD5CE"/>
      </x:top>
      <x:bottom style="thin">
        <x:color rgb="FFCAD5CE"/>
      </x:bottom>
    </x:border>
    <x:border>
      <x:left style="thin">
        <x:color rgb="FFCAD5CE"/>
      </x:left>
      <x:right style="thin">
        <x:color rgb="FFCAD5CE"/>
      </x:right>
      <x:top style="thin">
        <x:color rgb="FFCAD5CE"/>
      </x:top>
    </x:border>
    <x:border>
      <x:right style="thin">
        <x:color rgb="FFCAD5CE"/>
      </x:right>
    </x:border>
    <x:border>
      <x:left style="thin">
        <x:color rgb="FFCAD5CE"/>
      </x:left>
      <x:right style="thin">
        <x:color rgb="FFCAD5CE"/>
      </x:right>
    </x:border>
    <x:border>
      <x:left style="thin">
        <x:color rgb="FFCAD5CE"/>
      </x:left>
    </x:border>
    <x:border>
      <x:left style="thin">
        <x:color rgb="FFC8D7CE"/>
      </x:left>
      <x:right style="thin">
        <x:color rgb="FFC8D7CE"/>
      </x:right>
      <x:top style="thin">
        <x:color rgb="FFC8D7CE"/>
      </x:top>
      <x:bottom style="thin">
        <x:color rgb="FFC8D7CE"/>
      </x:bottom>
    </x:border>
  </x:borders>
  <x:cellStyleXfs count="1">
    <x:xf numFmtId="0" fontId="0" fillId="0" borderId="0"/>
  </x:cellStyleXfs>
  <x:cellXfs count="1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2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2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201" fontId="0" fillId="5" borderId="0" xfId="0" applyNumberFormat="1" applyFont="1" applyFill="1" applyBorder="1"/>
    <x:xf numFmtId="0" fontId="0" fillId="0" borderId="3" xfId="0" applyNumberFormat="1" applyFont="1" applyFill="1" applyBorder="1"/>
    <x:xf numFmtId="200" fontId="0" fillId="5" borderId="4" xfId="0" applyNumberFormat="1" applyFont="1" applyFill="1" applyBorder="1"/>
    <x:xf numFmtId="0" fontId="0" fillId="0" borderId="5" xfId="0" applyNumberFormat="1" applyFont="1" applyFill="1" applyBorder="1"/>
    <x:xf numFmtId="201" fontId="0" fillId="5" borderId="6" xfId="0" applyNumberFormat="1" applyFont="1" applyFill="1" applyBorder="1"/>
    <x:xf numFmtId="0" fontId="0" fillId="0" borderId="7" xfId="0" applyNumberFormat="1" applyFont="1" applyFill="1" applyBorder="1"/>
    <x:xf numFmtId="201" fontId="0" fillId="5" borderId="8" xfId="0" applyNumberFormat="1" applyFont="1" applyFill="1" applyBorder="1"/>
    <x:xf numFmtId="0" fontId="0" fillId="6" borderId="0" xfId="0" applyNumberFormat="1" applyFont="1" applyFill="1" applyBorder="1"/>
    <x:xf numFmtId="201" fontId="0" fillId="6" borderId="0" xfId="0" applyNumberFormat="1" applyFont="1" applyFill="1" applyBorder="1"/>
    <x:xf numFmtId="202" fontId="0" fillId="6" borderId="0" xfId="0" applyNumberFormat="1" applyFont="1" applyFill="1" applyBorder="1"/>
    <x:xf numFmtId="201" fontId="0" fillId="6" borderId="4" xfId="0" applyNumberFormat="1" applyFont="1" applyFill="1" applyBorder="1"/>
    <x:xf numFmtId="201" fontId="0" fillId="6" borderId="6" xfId="0" applyNumberFormat="1" applyFont="1" applyFill="1" applyBorder="1"/>
    <x:xf numFmtId="202" fontId="0" fillId="6" borderId="8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3" borderId="3" xfId="0" applyNumberFormat="1" applyFont="1" applyFill="1" applyBorder="1" applyAlignment="1">
      <x:alignment wrapText="1"/>
    </x:xf>
    <x:xf numFmtId="0" fontId="0" fillId="3" borderId="10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0" fontId="0" fillId="3" borderId="11" xfId="0" applyNumberFormat="1" applyFont="1" applyFill="1" applyBorder="1" applyAlignment="1">
      <x:alignment wrapText="1"/>
    </x:xf>
    <x:xf numFmtId="0" fontId="0" fillId="3" borderId="7" xfId="0" applyNumberFormat="1" applyFont="1" applyFill="1" applyBorder="1" applyAlignment="1">
      <x:alignment wrapText="1"/>
    </x:xf>
    <x:xf numFmtId="0" fontId="0" fillId="3" borderId="12" xfId="0" applyNumberFormat="1" applyFont="1" applyFill="1" applyBorder="1" applyAlignment="1">
      <x:alignment wrapText="1"/>
    </x:xf>
    <x:xf numFmtId="0" fontId="0" fillId="3" borderId="3" xfId="0" applyNumberFormat="1" applyFont="1" applyFill="1" applyBorder="1" applyAlignment="1">
      <x:alignment horizontal="center" wrapText="1"/>
    </x:xf>
    <x:xf numFmtId="0" fontId="0" fillId="3" borderId="5" xfId="0" applyNumberFormat="1" applyFont="1" applyFill="1" applyBorder="1" applyAlignment="1">
      <x:alignment horizontal="center" wrapText="1"/>
    </x:xf>
    <x:xf numFmtId="0" fontId="0" fillId="3" borderId="7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2" fillId="4" borderId="13" xfId="0" applyNumberFormat="1" applyFont="1" applyFill="1" applyBorder="1"/>
    <x:xf numFmtId="0" fontId="2" fillId="4" borderId="14" xfId="0" applyNumberFormat="1" applyFont="1" applyFill="1" applyBorder="1"/>
    <x:xf numFmtId="0" fontId="2" fillId="4" borderId="15" xfId="0" applyNumberFormat="1" applyFont="1" applyFill="1" applyBorder="1"/>
    <x:xf numFmtId="0" fontId="2" fillId="4" borderId="13" xfId="0" applyNumberFormat="1" applyFont="1" applyFill="1" applyBorder="1" applyAlignment="1">
      <x:alignment wrapText="1"/>
    </x:xf>
    <x:xf numFmtId="0" fontId="2" fillId="4" borderId="14" xfId="0" applyNumberFormat="1" applyFont="1" applyFill="1" applyBorder="1" applyAlignment="1">
      <x:alignment wrapText="1"/>
    </x:xf>
    <x:xf numFmtId="0" fontId="2" fillId="4" borderId="15" xfId="0" applyNumberFormat="1" applyFont="1" applyFill="1" applyBorder="1" applyAlignment="1">
      <x:alignment wrapText="1"/>
    </x:xf>
    <x:xf numFmtId="0" fontId="2" fillId="4" borderId="13" xfId="0" applyNumberFormat="1" applyFont="1" applyFill="1" applyBorder="1" applyAlignment="1">
      <x:alignment vertical="center" wrapText="1"/>
    </x:xf>
    <x:xf numFmtId="0" fontId="2" fillId="4" borderId="14" xfId="0" applyNumberFormat="1" applyFont="1" applyFill="1" applyBorder="1" applyAlignment="1">
      <x:alignment vertical="center" wrapText="1"/>
    </x:xf>
    <x:xf numFmtId="0" fontId="2" fillId="4" borderId="15" xfId="0" applyNumberFormat="1" applyFont="1" applyFill="1" applyBorder="1" applyAlignment="1">
      <x:alignment vertical="center" wrapText="1"/>
    </x:xf>
    <x:xf numFmtId="0" fontId="2" fillId="4" borderId="3" xfId="0" applyNumberFormat="1" applyFont="1" applyFill="1" applyBorder="1" applyAlignment="1">
      <x:alignment vertical="center" wrapText="1"/>
    </x:xf>
    <x:xf numFmtId="0" fontId="2" fillId="4" borderId="10" xfId="0" applyNumberFormat="1" applyFont="1" applyFill="1" applyBorder="1" applyAlignment="1">
      <x:alignment vertical="center" wrapText="1"/>
    </x:xf>
    <x:xf numFmtId="0" fontId="0" fillId="5" borderId="5" xfId="0" applyNumberFormat="1" applyFont="1" applyFill="1" applyBorder="1"/>
    <x:xf numFmtId="0" fontId="0" fillId="5" borderId="11" xfId="0" applyNumberFormat="1" applyFont="1" applyFill="1" applyBorder="1"/>
    <x:xf numFmtId="0" fontId="0" fillId="5" borderId="7" xfId="0" applyNumberFormat="1" applyFont="1" applyFill="1" applyBorder="1"/>
    <x:xf numFmtId="0" fontId="0" fillId="5" borderId="12" xfId="0" applyNumberFormat="1" applyFont="1" applyFill="1" applyBorder="1"/>
    <x:xf numFmtId="201" fontId="0" fillId="5" borderId="11" xfId="0" applyNumberFormat="1" applyFont="1" applyFill="1" applyBorder="1"/>
    <x:xf numFmtId="201" fontId="0" fillId="5" borderId="12" xfId="0" applyNumberFormat="1" applyFont="1" applyFill="1" applyBorder="1"/>
    <x:xf numFmtId="202" fontId="0" fillId="5" borderId="11" xfId="0" applyNumberFormat="1" applyFont="1" applyFill="1" applyBorder="1"/>
    <x:xf numFmtId="202" fontId="0" fillId="5" borderId="12" xfId="0" applyNumberFormat="1" applyFont="1" applyFill="1" applyBorder="1"/>
    <x:xf numFmtId="0" fontId="0" fillId="5" borderId="11" xfId="0" applyNumberFormat="1" applyFont="1" applyFill="1" applyBorder="1" applyAlignment="1">
      <x:alignment wrapText="1"/>
    </x:xf>
    <x:xf numFmtId="0" fontId="0" fillId="5" borderId="12" xfId="0" applyNumberFormat="1" applyFont="1" applyFill="1" applyBorder="1" applyAlignment="1">
      <x:alignment wrapText="1"/>
    </x:xf>
    <x:xf numFmtId="203" fontId="0" fillId="5" borderId="11" xfId="0" applyNumberFormat="1" applyFont="1" applyFill="1" applyBorder="1"/>
    <x:xf numFmtId="203" fontId="0" fillId="5" borderId="12" xfId="0" applyNumberFormat="1" applyFont="1" applyFill="1" applyBorder="1"/>
    <x:xf numFmtId="0" fontId="0" fillId="6" borderId="5" xfId="0" applyNumberFormat="1" applyFont="1" applyFill="1" applyBorder="1"/>
    <x:xf numFmtId="0" fontId="0" fillId="6" borderId="11" xfId="0" applyNumberFormat="1" applyFont="1" applyFill="1" applyBorder="1"/>
    <x:xf numFmtId="0" fontId="0" fillId="3" borderId="11" xfId="0" applyNumberFormat="1" applyFont="1" applyFill="1" applyBorder="1"/>
    <x:xf numFmtId="0" fontId="0" fillId="6" borderId="7" xfId="0" applyNumberFormat="1" applyFont="1" applyFill="1" applyBorder="1"/>
    <x:xf numFmtId="0" fontId="0" fillId="6" borderId="12" xfId="0" applyNumberFormat="1" applyFont="1" applyFill="1" applyBorder="1"/>
    <x:xf numFmtId="0" fontId="0" fillId="3" borderId="12" xfId="0" applyNumberFormat="1" applyFont="1" applyFill="1" applyBorder="1"/>
    <x:xf numFmtId="203" fontId="0" fillId="6" borderId="11" xfId="0" applyNumberFormat="1" applyFont="1" applyFill="1" applyBorder="1"/>
    <x:xf numFmtId="203" fontId="0" fillId="6" borderId="12" xfId="0" applyNumberFormat="1" applyFont="1" applyFill="1" applyBorder="1"/>
    <x:xf numFmtId="204" fontId="0" fillId="6" borderId="11" xfId="0" applyNumberFormat="1" applyFont="1" applyFill="1" applyBorder="1"/>
    <x:xf numFmtId="204" fontId="0" fillId="6" borderId="12" xfId="0" applyNumberFormat="1" applyFont="1" applyFill="1" applyBorder="1"/>
    <x:xf numFmtId="205" fontId="0" fillId="3" borderId="11" xfId="0" applyNumberFormat="1" applyFont="1" applyFill="1" applyBorder="1"/>
    <x:xf numFmtId="205" fontId="0" fillId="3" borderId="12" xfId="0" applyNumberFormat="1" applyFont="1" applyFill="1" applyBorder="1"/>
    <x:xf numFmtId="0" fontId="0" fillId="6" borderId="11" xfId="0" applyNumberFormat="1" applyFont="1" applyFill="1" applyBorder="1" applyAlignment="1">
      <x:alignment wrapText="1"/>
    </x:xf>
    <x:xf numFmtId="0" fontId="0" fillId="6" borderId="12" xfId="0" applyNumberFormat="1" applyFont="1" applyFill="1" applyBorder="1" applyAlignment="1">
      <x:alignment wrapText="1"/>
    </x:xf>
    <x:xf numFmtId="201" fontId="0" fillId="6" borderId="11" xfId="0" applyNumberFormat="1" applyFont="1" applyFill="1" applyBorder="1"/>
    <x:xf numFmtId="201" fontId="0" fillId="6" borderId="12" xfId="0" applyNumberFormat="1" applyFont="1" applyFill="1" applyBorder="1"/>
    <x:xf numFmtId="202" fontId="0" fillId="6" borderId="11" xfId="0" applyNumberFormat="1" applyFont="1" applyFill="1" applyBorder="1"/>
    <x:xf numFmtId="202" fontId="0" fillId="6" borderId="12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/>
    <x:xf numFmtId="0" fontId="0" fillId="0" borderId="11" xfId="0" applyNumberFormat="1" applyFont="1" applyFill="1" applyBorder="1"/>
    <x:xf numFmtId="0" fontId="0" fillId="0" borderId="6" xfId="0" applyNumberFormat="1" applyFont="1" applyFill="1" applyBorder="1"/>
    <x:xf numFmtId="0" fontId="0" fillId="0" borderId="12" xfId="0" applyNumberFormat="1" applyFont="1" applyFill="1" applyBorder="1"/>
    <x:xf numFmtId="0" fontId="0" fillId="0" borderId="8" xfId="0" applyNumberFormat="1" applyFont="1" applyFill="1" applyBorder="1"/>
    <x:xf numFmtId="0" fontId="0" fillId="0" borderId="3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horizontal="center" vertical="top" wrapText="1"/>
    </x:xf>
    <x:xf numFmtId="0" fontId="0" fillId="0" borderId="7" xfId="0" applyNumberFormat="1" applyFont="1" applyFill="1" applyBorder="1" applyAlignment="1">
      <x:alignment horizontal="center" vertical="top" wrapText="1"/>
    </x:xf>
    <x:xf numFmtId="0" fontId="0" fillId="0" borderId="10" xfId="0" applyNumberFormat="1" applyFont="1" applyFill="1" applyBorder="1" applyAlignment="1">
      <x:alignment horizontal="center" vertical="top" wrapText="1"/>
    </x:xf>
    <x:xf numFmtId="0" fontId="0" fillId="0" borderId="11" xfId="0" applyNumberFormat="1" applyFont="1" applyFill="1" applyBorder="1" applyAlignment="1">
      <x:alignment horizontal="center" vertical="top" wrapText="1"/>
    </x:xf>
    <x:xf numFmtId="0" fontId="0" fillId="0" borderId="12" xfId="0" applyNumberFormat="1" applyFont="1" applyFill="1" applyBorder="1" applyAlignment="1">
      <x:alignment horizontal="center" vertical="top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16" xfId="0" applyNumberFormat="1" applyFont="1" applyFill="1" applyBorder="1"/>
    <x:xf numFmtId="0" fontId="2" fillId="8" borderId="16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0" fillId="9" borderId="16" xfId="0" applyNumberFormat="1" applyFont="1" applyFill="1" applyBorder="1"/>
  </x:cellXfs>
  <x:cellStyles count="1">
    <x:cellStyle name="Normal" xfId="0"/>
  </x:cellStyles>
  <x:dxfs count="10">
    <x:dxf>
      <x:font>
        <x:b/>
        <x:color rgb="FFA61B1B"/>
      </x:font>
      <x:fill>
        <x:patternFill>
          <x:bgColor rgb="FFFCE8E6"/>
        </x:patternFill>
      </x:fill>
    </x:dxf>
    <x:dxf>
      <x:font>
        <x:b/>
        <x:color rgb="FFA61B1B"/>
      </x:font>
      <x:fill>
        <x:patternFill>
          <x:bgColor rgb="FFFCE8E6"/>
        </x:patternFill>
      </x:fill>
    </x:dxf>
    <x:dxf>
      <x:font>
        <x:b/>
        <x:color rgb="FFA61B1B"/>
      </x:font>
      <x:fill>
        <x:patternFill>
          <x:bgColor rgb="FFFCE8E6"/>
        </x:patternFill>
      </x:fill>
    </x:dxf>
    <x:dxf>
      <x:font>
        <x:color rgb="FFA61B1B"/>
      </x:font>
      <x:fill>
        <x:patternFill>
          <x:bgColor rgb="FFFCE8E6"/>
        </x:patternFill>
      </x:fill>
    </x:dxf>
    <x:dxf>
      <x:font>
        <x:b/>
        <x:color rgb="FFA61B1B"/>
      </x:font>
      <x:fill>
        <x:patternFill>
          <x:bgColor rgb="FFFCE8E6"/>
        </x:patternFill>
      </x:fill>
    </x:dxf>
    <x:dxf>
      <x:font>
        <x:b/>
      </x:font>
      <x:fill>
        <x:patternFill>
          <x:bgColor rgb="FFE8F2FA"/>
        </x:patternFill>
      </x:fill>
    </x:dxf>
    <x:dxf>
      <x:font>
        <x:b/>
      </x:font>
      <x:fill>
        <x:patternFill>
          <x:bgColor rgb="FFE8F1EA"/>
        </x:patternFill>
      </x:fill>
    </x:dxf>
    <x:dxf>
      <x:font>
        <x:b/>
      </x:font>
      <x:fill>
        <x:patternFill>
          <x:bgColor rgb="FFFFF4D6"/>
        </x:patternFill>
      </x:fill>
    </x:dxf>
    <x:dxf>
      <x:font>
        <x:b/>
        <x:color rgb="FF5B347D"/>
      </x:font>
      <x:fill>
        <x:patternFill>
          <x:bgColor rgb="FFEEE7F7"/>
        </x:patternFill>
      </x:fill>
    </x:dxf>
    <x:dxf>
      <x:font>
        <x:b/>
        <x:color rgb="FFB42318"/>
      </x:font>
      <x:fill>
        <x:patternFill patternType="solid">
          <x:bgColor rgb="FFFDE2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ceb6cb6d7f48f3" /><Relationship Type="http://schemas.openxmlformats.org/officeDocument/2006/relationships/theme" Target="/xl/theme/theme1.xml" Id="Rba0786865d214c05" /><Relationship Type="http://schemas.openxmlformats.org/officeDocument/2006/relationships/sharedStrings" Target="/xl/sharedStrings.xml" Id="Ra170447561df46ed" /><Relationship Type="http://schemas.openxmlformats.org/officeDocument/2006/relationships/worksheet" Target="/xl/worksheets/sheet1.xml" Id="Rcf11fd7e8b0b47b4" /><Relationship Type="http://schemas.openxmlformats.org/officeDocument/2006/relationships/worksheet" Target="/xl/worksheets/sheet2.xml" Id="Re52a65fec4914587" /><Relationship Type="http://schemas.openxmlformats.org/officeDocument/2006/relationships/worksheet" Target="/xl/worksheets/sheet3.xml" Id="R89f6e98413214c12" /><Relationship Type="http://schemas.openxmlformats.org/officeDocument/2006/relationships/worksheet" Target="/xl/worksheets/sheet4.xml" Id="R0b0e36ea280740a8" /><Relationship Type="http://schemas.openxmlformats.org/officeDocument/2006/relationships/worksheet" Target="/xl/worksheets/sheet5.xml" Id="R1f8721b9b67849c4" /><Relationship Type="http://schemas.openxmlformats.org/officeDocument/2006/relationships/worksheet" Target="/xl/worksheets/sheet6.xml" Id="Rd66f3fcf7f67403b" /><Relationship Type="http://schemas.microsoft.com/office/2017/10/relationships/person" Target="/xl/persons/person.xml" Id="Racf19c3465814ec5" /></Relationships>
</file>

<file path=xl/persons/person.xml><?xml version="1.0" encoding="utf-8"?>
<xltc:personList xmlns:xltc="http://schemas.microsoft.com/office/spreadsheetml/2018/threadedcomments">
  <xltc:person displayName="takanorifukuyama" id="{5643E6F5-16A3-4CB8-B8BE-2EE965868968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F4" dT="2026-09-01T08:01:09.932" personId="{5643E6F5-16A3-4CB8-B8BE-2EE965868968}" id="{CB6272FC-33C8-4F64-9B09-F10D105AD59B}">
    <xltc:text>有効スコアは負数でも割当可能です。-9999だけをHard不適合の番兵値として扱います。</xltc:text>
  </xltc:threadedComment>
  <xltc:threadedComment ref="L4" dT="2026-09-01T08:01:09.938" personId="{5643E6F5-16A3-4CB8-B8BE-2EE965868968}" id="{EBEBC430-A8BF-4E0C-9FAC-6CDB406E34BB}">
    <xltc:text>公平性は既存実績に先行行の今回割当を加えて再計算します。2R希望ボーナスは成立可能なペアにだけ適用します。</xltc:text>
  </xltc:threadedComment>
</xltc:ThreadedComment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1.xml" Id="Rbd50039cd1a141cd" /><Relationship Type="http://schemas.openxmlformats.org/officeDocument/2006/relationships/vmlDrawing" Target="/xl/drawings/vmldrawing.vml" Id="R063d9e65e2454623" /><Relationship Type="http://schemas.microsoft.com/office/2017/10/relationships/threadedComment" Target="/xl/threadedcomments/threadedcomment.xml" Id="Ra31e03a196894dc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32" hidden="0" customWidth="1"/>
    <x:col min="4" max="4" width="20" hidden="0" customWidth="1"/>
    <x:col min="5" max="5" width="16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34" customHeight="1">
      <x:c r="A1" s="3" t="str">
        <x:v>キャディ割当シミュレーション</x:v>
      </x:c>
      <x:c r="B1" s="3"/>
      <x:c r="C1" s="3"/>
      <x:c r="D1" s="3"/>
      <x:c r="E1" s="3"/>
      <x:c r="F1" s="3"/>
      <x:c r="G1" s="3"/>
      <x:c r="H1" s="3"/>
    </x:row>
    <x:row r="2" ht="34" customHeight="1">
      <x:c r="A2" s="5" t="str">
        <x:v>Hard条件を先に守り、人数希望・2ラウンド希望・公平性を点数化する架空モデルです。青いセルを変更すると割当と集計が再計算されます。</x:v>
      </x:c>
      <x:c r="B2" s="5"/>
      <x:c r="C2" s="5"/>
      <x:c r="D2" s="5"/>
      <x:c r="E2" s="5"/>
      <x:c r="F2" s="5"/>
      <x:c r="G2" s="5"/>
      <x:c r="H2" s="5"/>
    </x:row>
    <x:row r="4" ht="24" customHeight="1">
      <x:c r="A4" s="10" t="str">
        <x:v>シミュレーション設定</x:v>
      </x:c>
      <x:c r="B4" s="11" t="str">
        <x:v>値</x:v>
      </x:c>
      <x:c r="D4" s="10" t="str">
        <x:v>結果サマリー</x:v>
      </x:c>
      <x:c r="E4" s="11" t="str">
        <x:v>値</x:v>
      </x:c>
    </x:row>
    <x:row r="5">
      <x:c r="A5" s="15" t="str">
        <x:v>対象日</x:v>
      </x:c>
      <x:c r="B5" s="16" t="n">
        <x:v>46270</x:v>
      </x:c>
      <x:c r="D5" s="15" t="str">
        <x:v>対象組数</x:v>
      </x:c>
      <x:c r="E5" s="24" t="n">
        <x:f>COUNTA('ラウンド入力'!$A$5:$A$19)</x:f>
        <x:v>5</x:v>
      </x:c>
    </x:row>
    <x:row r="6">
      <x:c r="A6" s="17" t="str">
        <x:v>既定ラウンド時間（分）</x:v>
      </x:c>
      <x:c r="B6" s="18" t="n">
        <x:v>270</x:v>
      </x:c>
      <x:c r="D6" s="17" t="str">
        <x:v>割当済み</x:v>
      </x:c>
      <x:c r="E6" s="25" t="n">
        <x:f>SUM('個人集計'!$E$5:$E$14)</x:f>
        <x:v>5</x:v>
      </x:c>
    </x:row>
    <x:row r="7">
      <x:c r="A7" s="17" t="str">
        <x:v>最低休憩・移動時間（分）</x:v>
      </x:c>
      <x:c r="B7" s="18" t="n">
        <x:v>60</x:v>
      </x:c>
      <x:c r="D7" s="17" t="str">
        <x:v>未割当</x:v>
      </x:c>
      <x:c r="E7" s="25" t="n">
        <x:f>E5-E6</x:f>
        <x:v>0</x:v>
      </x:c>
    </x:row>
    <x:row r="8">
      <x:c r="A8" s="17" t="str">
        <x:v>4人組追加バック（円、仮定）</x:v>
      </x:c>
      <x:c r="B8" s="18" t="n">
        <x:v>2000</x:v>
      </x:c>
      <x:c r="D8" s="17" t="str">
        <x:v>人数希望一致</x:v>
      </x:c>
      <x:c r="E8" s="25" t="n">
        <x:f>SUM('割当シミュレーション'!$V$5:$V$19)</x:f>
        <x:v>2</x:v>
      </x:c>
    </x:row>
    <x:row r="9">
      <x:c r="A9" s="17" t="str">
        <x:v>人数希望一致ボーナス</x:v>
      </x:c>
      <x:c r="B9" s="18" t="n">
        <x:v>30</x:v>
      </x:c>
      <x:c r="D9" s="19" t="str">
        <x:v>見込バック合計</x:v>
      </x:c>
      <x:c r="E9" s="26" t="n">
        <x:f>SUM('個人集計'!$G$5:$G$14)</x:f>
        <x:v>60000</x:v>
      </x:c>
    </x:row>
    <x:row r="10">
      <x:c r="A10" s="17" t="str">
        <x:v>2ラウンド希望ボーナス</x:v>
      </x:c>
      <x:c r="B10" s="18" t="n">
        <x:v>40</x:v>
      </x:c>
      <x:c r="D10" t="str">
        <x:v>入力エラー</x:v>
      </x:c>
      <x:c r="E10" t="n">
        <x:f>COUNTIF('キャディ条件'!$O$5:$O$14,"重複ID*")</x:f>
        <x:v>0</x:v>
      </x:c>
    </x:row>
    <x:row r="11">
      <x:c r="A11" s="17" t="str">
        <x:v>月間担当1件あたり公平性減点</x:v>
      </x:c>
      <x:c r="B11" s="18" t="n">
        <x:v>1</x:v>
      </x:c>
    </x:row>
    <x:row r="12">
      <x:c r="A12" s="17" t="str">
        <x:v>既存4人組1件あたり公平性減点</x:v>
      </x:c>
      <x:c r="B12" s="18" t="n">
        <x:v>3</x:v>
      </x:c>
    </x:row>
    <x:row r="13">
      <x:c r="A13" s="19" t="str">
        <x:v>4人組ベテランボーナス</x:v>
      </x:c>
      <x:c r="B13" s="20" t="n">
        <x:v>10</x:v>
      </x:c>
    </x:row>
    <x:row r="15" ht="24" customHeight="1">
      <x:c r="A15" s="10" t="str">
        <x:v>判定ルール</x:v>
      </x:c>
      <x:c r="B15" s="28"/>
      <x:c r="C15" s="28"/>
      <x:c r="D15" s="28"/>
      <x:c r="E15" s="28"/>
      <x:c r="F15" s="28"/>
      <x:c r="G15" s="28"/>
      <x:c r="H15" s="11"/>
    </x:row>
    <x:row r="16" ht="34" customHeight="1">
      <x:c r="A16" s="45" t="str">
        <x:v>1</x:v>
      </x:c>
      <x:c r="B16" s="40" t="str">
        <x:v>Hard条件</x:v>
      </x:c>
      <x:c r="C16" s="31" t="str">
        <x:v>勤務区分、ID一意性、2R可、最大組人数、担当可能コース、最大ラウンド数、時間重複を満たさない候補は -9999 点。</x:v>
      </x:c>
      <x:c r="D16" s="31"/>
      <x:c r="E16" s="31"/>
      <x:c r="F16" s="31"/>
      <x:c r="G16" s="31"/>
      <x:c r="H16" s="32"/>
    </x:row>
    <x:row r="17" ht="34" customHeight="1">
      <x:c r="A17" s="46" t="str">
        <x:v>2</x:v>
      </x:c>
      <x:c r="B17" s="42" t="str">
        <x:v>割当目標</x:v>
      </x:c>
      <x:c r="C17" s="34" t="str">
        <x:v>Hard条件を満たす候補の中で未割当を減らす。入力行の上から順に決定するため、時刻順に並べる。</x:v>
      </x:c>
      <x:c r="D17" s="34"/>
      <x:c r="E17" s="34"/>
      <x:c r="F17" s="34"/>
      <x:c r="G17" s="34"/>
      <x:c r="H17" s="35"/>
    </x:row>
    <x:row r="18" ht="34" customHeight="1">
      <x:c r="A18" s="46" t="str">
        <x:v>3</x:v>
      </x:c>
      <x:c r="B18" s="42" t="str">
        <x:v>希望</x:v>
      </x:c>
      <x:c r="C18" s="34" t="str">
        <x:v>希望組人数、成立可能な当日2ラウンド希望、4人組のベテラン適性を加点する。</x:v>
      </x:c>
      <x:c r="D18" s="34"/>
      <x:c r="E18" s="34"/>
      <x:c r="F18" s="34"/>
      <x:c r="G18" s="34"/>
      <x:c r="H18" s="35"/>
    </x:row>
    <x:row r="19" ht="34" customHeight="1">
      <x:c r="A19" s="46" t="str">
        <x:v>4</x:v>
      </x:c>
      <x:c r="B19" s="42" t="str">
        <x:v>公平性</x:v>
      </x:c>
      <x:c r="C19" s="34" t="str">
        <x:v>既存実績に加え、先行行で確定した今回割当も累積して公平性を再計算する。重みは上の設定で変更可能。</x:v>
      </x:c>
      <x:c r="D19" s="34"/>
      <x:c r="E19" s="34"/>
      <x:c r="F19" s="34"/>
      <x:c r="G19" s="34"/>
      <x:c r="H19" s="35"/>
    </x:row>
    <x:row r="20" ht="34" customHeight="1">
      <x:c r="A20" s="46" t="str">
        <x:v>5</x:v>
      </x:c>
      <x:c r="B20" s="42" t="str">
        <x:v>手動確認</x:v>
      </x:c>
      <x:c r="C20" s="34" t="str">
        <x:v>「4人不可」と「できれば2人」を混同しない。前者は最大組人数、後者は希望組人数で表す。</x:v>
      </x:c>
      <x:c r="D20" s="34"/>
      <x:c r="E20" s="34"/>
      <x:c r="F20" s="34"/>
      <x:c r="G20" s="34"/>
      <x:c r="H20" s="35"/>
    </x:row>
    <x:row r="21" ht="34" customHeight="1">
      <x:c r="A21" s="46" t="str">
        <x:v>6</x:v>
      </x:c>
      <x:c r="B21" s="42" t="str">
        <x:v>個人事情</x:v>
      </x:c>
      <x:c r="C21" s="34" t="str">
        <x:v>病名・介護などの理由ではなく、配置に必要な制限だけを入力する。</x:v>
      </x:c>
      <x:c r="D21" s="34"/>
      <x:c r="E21" s="34"/>
      <x:c r="F21" s="34"/>
      <x:c r="G21" s="34"/>
      <x:c r="H21" s="35"/>
    </x:row>
    <x:row r="22" ht="34" customHeight="1">
      <x:c r="A22" s="47" t="str">
        <x:v>7</x:v>
      </x:c>
      <x:c r="B22" s="44" t="str">
        <x:v>注意</x:v>
      </x:c>
      <x:c r="C22" s="37" t="str">
        <x:v>このExcelは要件検討用の逐次ヒューリスティックで、CourseBoard実装の最終最適化アルゴリズムではない。</x:v>
      </x:c>
      <x:c r="D22" s="37"/>
      <x:c r="E22" s="37"/>
      <x:c r="F22" s="37"/>
      <x:c r="G22" s="37"/>
      <x:c r="H22" s="38"/>
    </x:row>
    <x:row r="24" ht="26" customHeight="1">
      <x:c r="A24" s="49" t="str">
        <x:v>入力順: ①キャディ条件 → ②ラウンド入力 → ③割当シミュレーション → ④個人集計。判断例は「シチュエーション例」を参照。</x:v>
      </x:c>
      <x:c r="B24" s="49"/>
      <x:c r="C24" s="49"/>
      <x:c r="D24" s="49"/>
      <x:c r="E24" s="49"/>
      <x:c r="F24" s="49"/>
      <x:c r="G24" s="49"/>
      <x:c r="H24" s="49"/>
    </x:row>
    <x:row r="25" ht="26" customHeight="1">
      <x:c r="A25" s="49" t="str">
        <x:v>青=入力、灰=数式、赤=未割当またはHard条件不適合。4人組追加バック2,000円は仮定です。</x:v>
      </x:c>
      <x:c r="B25" s="49"/>
      <x:c r="C25" s="49"/>
      <x:c r="D25" s="49"/>
      <x:c r="E25" s="49"/>
      <x:c r="F25" s="49"/>
      <x:c r="G25" s="49"/>
      <x:c r="H25" s="49"/>
    </x:row>
  </x:sheetData>
  <x:mergeCells>
    <x:mergeCell ref="A1:H1"/>
    <x:mergeCell ref="A2:H2"/>
    <x:mergeCell ref="A15:H15"/>
    <x:mergeCell ref="C16:H16"/>
    <x:mergeCell ref="C17:H17"/>
    <x:mergeCell ref="C18:H18"/>
    <x:mergeCell ref="C19:H19"/>
    <x:mergeCell ref="C20:H20"/>
    <x:mergeCell ref="C21:H21"/>
    <x:mergeCell ref="C22:H22"/>
    <x:mergeCell ref="A24:H24"/>
    <x:mergeCell ref="A25:H25"/>
  </x:mergeCells>
  <x:conditionalFormatting sqref="E7:E7">
    <x:cfRule type="cellIs" dxfId="0" priority="1" operator="greater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5" hidden="0" customWidth="1"/>
    <x:col min="12" max="12" width="15" hidden="0" customWidth="1"/>
    <x:col min="13" max="13" width="15" hidden="0" customWidth="1"/>
    <x:col min="14" max="14" width="28" hidden="0" customWidth="1"/>
    <x:col min="15" max="15" width="20" hidden="0" customWidth="1"/>
  </x:cols>
  <x:sheetData>
    <x:row r="1" ht="34" customHeight="1">
      <x:c r="A1" s="3" t="str">
        <x:v>キャディ条件（架空データ）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s="4" t="str">
        <x:v>青いセルを編集してください。Hard条件と希望を分けて入力します。ID重複は割当を停止します。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4" ht="32" customHeight="1">
      <x:c r="A4" s="59" t="str">
        <x:v>ID</x:v>
      </x:c>
      <x:c r="B4" s="60" t="str">
        <x:v>氏名</x:v>
      </x:c>
      <x:c r="C4" s="60" t="str">
        <x:v>勤務区分</x:v>
      </x:c>
      <x:c r="D4" s="60" t="str">
        <x:v>最大R/日</x:v>
      </x:c>
      <x:c r="E4" s="60" t="str">
        <x:v>2R可</x:v>
      </x:c>
      <x:c r="F4" s="60" t="str">
        <x:v>当日2R希望</x:v>
      </x:c>
      <x:c r="G4" s="60" t="str">
        <x:v>最大組人数</x:v>
      </x:c>
      <x:c r="H4" s="60" t="str">
        <x:v>希望組人数</x:v>
      </x:c>
      <x:c r="I4" s="60" t="str">
        <x:v>スキル</x:v>
      </x:c>
      <x:c r="J4" s="60" t="str">
        <x:v>担当可能コース</x:v>
      </x:c>
      <x:c r="K4" s="60" t="str">
        <x:v>月間担当数</x:v>
      </x:c>
      <x:c r="L4" s="60" t="str">
        <x:v>月間4人組数</x:v>
      </x:c>
      <x:c r="M4" s="60" t="str">
        <x:v>基本バック/組</x:v>
      </x:c>
      <x:c r="N4" s="60" t="str">
        <x:v>制限の表示文</x:v>
      </x:c>
      <x:c r="O4" s="115" t="str">
        <x:v>ID検証</x:v>
      </x:c>
    </x:row>
    <x:row r="5">
      <x:c r="A5" s="61" t="str">
        <x:v>cad_sato</x:v>
      </x:c>
      <x:c r="B5" s="62" t="str">
        <x:v>佐藤</x:v>
      </x:c>
      <x:c r="C5" s="62" t="str">
        <x:v>土日</x:v>
      </x:c>
      <x:c r="D5" s="62" t="n">
        <x:v>1</x:v>
      </x:c>
      <x:c r="E5" s="62" t="str">
        <x:v>いいえ</x:v>
      </x:c>
      <x:c r="F5" s="62" t="str">
        <x:v>いいえ</x:v>
      </x:c>
      <x:c r="G5" s="62" t="n">
        <x:v>2</x:v>
      </x:c>
      <x:c r="H5" s="62" t="n">
        <x:v>2</x:v>
      </x:c>
      <x:c r="I5" s="62" t="str">
        <x:v>レギュラー</x:v>
      </x:c>
      <x:c r="J5" s="62" t="str">
        <x:v>全コース</x:v>
      </x:c>
      <x:c r="K5" s="65" t="n">
        <x:v>8</x:v>
      </x:c>
      <x:c r="L5" s="65" t="n">
        <x:v>0</x:v>
      </x:c>
      <x:c r="M5" s="67" t="n">
        <x:v>11000</x:v>
      </x:c>
      <x:c r="N5" s="69" t="str">
        <x:v>4人不可・2人組希望</x:v>
      </x:c>
      <x:c r="O5" s="117" t="str">
        <x:f>IF(A5="","",IF(COUNTIF($A$5:$A$14,A5)&gt;1,"重複ID（割当停止）","OK"))</x:f>
        <x:v>OK</x:v>
      </x:c>
    </x:row>
    <x:row r="6">
      <x:c r="A6" s="61" t="str">
        <x:v>cad_suzuki</x:v>
      </x:c>
      <x:c r="B6" s="62" t="str">
        <x:v>鈴木</x:v>
      </x:c>
      <x:c r="C6" s="62" t="str">
        <x:v>全日</x:v>
      </x:c>
      <x:c r="D6" s="62" t="n">
        <x:v>1</x:v>
      </x:c>
      <x:c r="E6" s="62" t="str">
        <x:v>いいえ</x:v>
      </x:c>
      <x:c r="F6" s="62" t="str">
        <x:v>いいえ</x:v>
      </x:c>
      <x:c r="G6" s="62" t="n">
        <x:v>4</x:v>
      </x:c>
      <x:c r="H6" s="62" t="n">
        <x:v>4</x:v>
      </x:c>
      <x:c r="I6" s="62" t="str">
        <x:v>ベテラン</x:v>
      </x:c>
      <x:c r="J6" s="62" t="str">
        <x:v>全コース</x:v>
      </x:c>
      <x:c r="K6" s="65" t="n">
        <x:v>10</x:v>
      </x:c>
      <x:c r="L6" s="65" t="n">
        <x:v>5</x:v>
      </x:c>
      <x:c r="M6" s="67" t="n">
        <x:v>12000</x:v>
      </x:c>
      <x:c r="N6" s="69" t="str">
        <x:v>4人組希望</x:v>
      </x:c>
      <x:c r="O6" s="117" t="str">
        <x:f>IF(A6="","",IF(COUNTIF($A$5:$A$14,A6)&gt;1,"重複ID（割当停止）","OK"))</x:f>
        <x:v>OK</x:v>
      </x:c>
    </x:row>
    <x:row r="7">
      <x:c r="A7" s="61" t="str">
        <x:v>cad_tanaka</x:v>
      </x:c>
      <x:c r="B7" s="62" t="str">
        <x:v>田中</x:v>
      </x:c>
      <x:c r="C7" s="62" t="str">
        <x:v>全日</x:v>
      </x:c>
      <x:c r="D7" s="62" t="n">
        <x:v>2</x:v>
      </x:c>
      <x:c r="E7" s="62" t="str">
        <x:v>はい</x:v>
      </x:c>
      <x:c r="F7" s="62" t="str">
        <x:v>はい</x:v>
      </x:c>
      <x:c r="G7" s="62" t="n">
        <x:v>4</x:v>
      </x:c>
      <x:c r="H7" s="62"/>
      <x:c r="I7" s="62" t="str">
        <x:v>レギュラー</x:v>
      </x:c>
      <x:c r="J7" s="62" t="str">
        <x:v>全コース</x:v>
      </x:c>
      <x:c r="K7" s="65" t="n">
        <x:v>7</x:v>
      </x:c>
      <x:c r="L7" s="65" t="n">
        <x:v>2</x:v>
      </x:c>
      <x:c r="M7" s="67" t="n">
        <x:v>11500</x:v>
      </x:c>
      <x:c r="N7" s="69" t="str">
        <x:v>当日2ラウンド希望</x:v>
      </x:c>
      <x:c r="O7" s="117" t="str">
        <x:f>IF(A7="","",IF(COUNTIF($A$5:$A$14,A7)&gt;1,"重複ID（割当停止）","OK"))</x:f>
        <x:v>OK</x:v>
      </x:c>
    </x:row>
    <x:row r="8">
      <x:c r="A8" s="61" t="str">
        <x:v>cad_yamamoto</x:v>
      </x:c>
      <x:c r="B8" s="62" t="str">
        <x:v>山本</x:v>
      </x:c>
      <x:c r="C8" s="62" t="str">
        <x:v>平日</x:v>
      </x:c>
      <x:c r="D8" s="62" t="n">
        <x:v>1</x:v>
      </x:c>
      <x:c r="E8" s="62" t="str">
        <x:v>いいえ</x:v>
      </x:c>
      <x:c r="F8" s="62" t="str">
        <x:v>いいえ</x:v>
      </x:c>
      <x:c r="G8" s="62" t="n">
        <x:v>4</x:v>
      </x:c>
      <x:c r="H8" s="62"/>
      <x:c r="I8" s="62" t="str">
        <x:v>レギュラー</x:v>
      </x:c>
      <x:c r="J8" s="62" t="str">
        <x:v>全コース</x:v>
      </x:c>
      <x:c r="K8" s="65" t="n">
        <x:v>6</x:v>
      </x:c>
      <x:c r="L8" s="65" t="n">
        <x:v>1</x:v>
      </x:c>
      <x:c r="M8" s="67" t="n">
        <x:v>11000</x:v>
      </x:c>
      <x:c r="N8" s="69" t="str">
        <x:v>平日のみ</x:v>
      </x:c>
      <x:c r="O8" s="117" t="str">
        <x:f>IF(A8="","",IF(COUNTIF($A$5:$A$14,A8)&gt;1,"重複ID（割当停止）","OK"))</x:f>
        <x:v>OK</x:v>
      </x:c>
    </x:row>
    <x:row r="9">
      <x:c r="A9" s="61" t="str">
        <x:v>cad_ito</x:v>
      </x:c>
      <x:c r="B9" s="62" t="str">
        <x:v>伊藤</x:v>
      </x:c>
      <x:c r="C9" s="62" t="str">
        <x:v>全日</x:v>
      </x:c>
      <x:c r="D9" s="62" t="n">
        <x:v>1</x:v>
      </x:c>
      <x:c r="E9" s="62" t="str">
        <x:v>いいえ</x:v>
      </x:c>
      <x:c r="F9" s="62" t="str">
        <x:v>いいえ</x:v>
      </x:c>
      <x:c r="G9" s="62" t="n">
        <x:v>4</x:v>
      </x:c>
      <x:c r="H9" s="62"/>
      <x:c r="I9" s="62" t="str">
        <x:v>ジュニア</x:v>
      </x:c>
      <x:c r="J9" s="62" t="str">
        <x:v>全コース</x:v>
      </x:c>
      <x:c r="K9" s="65" t="n">
        <x:v>4</x:v>
      </x:c>
      <x:c r="L9" s="65" t="n">
        <x:v>0</x:v>
      </x:c>
      <x:c r="M9" s="67" t="n">
        <x:v>10000</x:v>
      </x:c>
      <x:c r="N9" s="69" t="str">
        <x:v>制約なし</x:v>
      </x:c>
      <x:c r="O9" s="117" t="str">
        <x:f>IF(A9="","",IF(COUNTIF($A$5:$A$14,A9)&gt;1,"重複ID（割当停止）","OK"))</x:f>
        <x:v>OK</x:v>
      </x:c>
    </x:row>
    <x:row r="10">
      <x:c r="A10" s="61"/>
      <x:c r="B10" s="62"/>
      <x:c r="C10" s="62" t="str">
        <x:v>全日</x:v>
      </x:c>
      <x:c r="D10" s="62" t="n">
        <x:v>1</x:v>
      </x:c>
      <x:c r="E10" s="62" t="str">
        <x:v>いいえ</x:v>
      </x:c>
      <x:c r="F10" s="62" t="str">
        <x:v>いいえ</x:v>
      </x:c>
      <x:c r="G10" s="62" t="n">
        <x:v>4</x:v>
      </x:c>
      <x:c r="H10" s="62"/>
      <x:c r="I10" s="62" t="str">
        <x:v>レギュラー</x:v>
      </x:c>
      <x:c r="J10" s="62" t="str">
        <x:v>全コース</x:v>
      </x:c>
      <x:c r="K10" s="65" t="n">
        <x:v>0</x:v>
      </x:c>
      <x:c r="L10" s="65" t="n">
        <x:v>0</x:v>
      </x:c>
      <x:c r="M10" s="67" t="n">
        <x:v>11000</x:v>
      </x:c>
      <x:c r="N10" s="69"/>
      <x:c r="O10" s="117" t="str">
        <x:f>IF(A10="","",IF(COUNTIF($A$5:$A$14,A10)&gt;1,"重複ID（割当停止）","OK"))</x:f>
      </x:c>
    </x:row>
    <x:row r="11">
      <x:c r="A11" s="61"/>
      <x:c r="B11" s="62"/>
      <x:c r="C11" s="62" t="str">
        <x:v>全日</x:v>
      </x:c>
      <x:c r="D11" s="62" t="n">
        <x:v>1</x:v>
      </x:c>
      <x:c r="E11" s="62" t="str">
        <x:v>いいえ</x:v>
      </x:c>
      <x:c r="F11" s="62" t="str">
        <x:v>いいえ</x:v>
      </x:c>
      <x:c r="G11" s="62" t="n">
        <x:v>4</x:v>
      </x:c>
      <x:c r="H11" s="62"/>
      <x:c r="I11" s="62" t="str">
        <x:v>レギュラー</x:v>
      </x:c>
      <x:c r="J11" s="62" t="str">
        <x:v>全コース</x:v>
      </x:c>
      <x:c r="K11" s="65" t="n">
        <x:v>0</x:v>
      </x:c>
      <x:c r="L11" s="65" t="n">
        <x:v>0</x:v>
      </x:c>
      <x:c r="M11" s="67" t="n">
        <x:v>11000</x:v>
      </x:c>
      <x:c r="N11" s="69"/>
      <x:c r="O11" s="117" t="str">
        <x:f>IF(A11="","",IF(COUNTIF($A$5:$A$14,A11)&gt;1,"重複ID（割当停止）","OK"))</x:f>
      </x:c>
    </x:row>
    <x:row r="12">
      <x:c r="A12" s="61"/>
      <x:c r="B12" s="62"/>
      <x:c r="C12" s="62" t="str">
        <x:v>全日</x:v>
      </x:c>
      <x:c r="D12" s="62" t="n">
        <x:v>1</x:v>
      </x:c>
      <x:c r="E12" s="62" t="str">
        <x:v>いいえ</x:v>
      </x:c>
      <x:c r="F12" s="62" t="str">
        <x:v>いいえ</x:v>
      </x:c>
      <x:c r="G12" s="62" t="n">
        <x:v>4</x:v>
      </x:c>
      <x:c r="H12" s="62"/>
      <x:c r="I12" s="62" t="str">
        <x:v>レギュラー</x:v>
      </x:c>
      <x:c r="J12" s="62" t="str">
        <x:v>全コース</x:v>
      </x:c>
      <x:c r="K12" s="65" t="n">
        <x:v>0</x:v>
      </x:c>
      <x:c r="L12" s="65" t="n">
        <x:v>0</x:v>
      </x:c>
      <x:c r="M12" s="67" t="n">
        <x:v>11000</x:v>
      </x:c>
      <x:c r="N12" s="69"/>
      <x:c r="O12" s="117" t="str">
        <x:f>IF(A12="","",IF(COUNTIF($A$5:$A$14,A12)&gt;1,"重複ID（割当停止）","OK"))</x:f>
      </x:c>
    </x:row>
    <x:row r="13">
      <x:c r="A13" s="61"/>
      <x:c r="B13" s="62"/>
      <x:c r="C13" s="62" t="str">
        <x:v>全日</x:v>
      </x:c>
      <x:c r="D13" s="62" t="n">
        <x:v>1</x:v>
      </x:c>
      <x:c r="E13" s="62" t="str">
        <x:v>いいえ</x:v>
      </x:c>
      <x:c r="F13" s="62" t="str">
        <x:v>いいえ</x:v>
      </x:c>
      <x:c r="G13" s="62" t="n">
        <x:v>4</x:v>
      </x:c>
      <x:c r="H13" s="62"/>
      <x:c r="I13" s="62" t="str">
        <x:v>レギュラー</x:v>
      </x:c>
      <x:c r="J13" s="62" t="str">
        <x:v>全コース</x:v>
      </x:c>
      <x:c r="K13" s="65" t="n">
        <x:v>0</x:v>
      </x:c>
      <x:c r="L13" s="65" t="n">
        <x:v>0</x:v>
      </x:c>
      <x:c r="M13" s="67" t="n">
        <x:v>11000</x:v>
      </x:c>
      <x:c r="N13" s="69"/>
      <x:c r="O13" s="117" t="str">
        <x:f>IF(A13="","",IF(COUNTIF($A$5:$A$14,A13)&gt;1,"重複ID（割当停止）","OK"))</x:f>
      </x:c>
    </x:row>
    <x:row r="14">
      <x:c r="A14" s="63"/>
      <x:c r="B14" s="64"/>
      <x:c r="C14" s="64" t="str">
        <x:v>全日</x:v>
      </x:c>
      <x:c r="D14" s="64" t="n">
        <x:v>1</x:v>
      </x:c>
      <x:c r="E14" s="64" t="str">
        <x:v>いいえ</x:v>
      </x:c>
      <x:c r="F14" s="64" t="str">
        <x:v>いいえ</x:v>
      </x:c>
      <x:c r="G14" s="64" t="n">
        <x:v>4</x:v>
      </x:c>
      <x:c r="H14" s="64"/>
      <x:c r="I14" s="64" t="str">
        <x:v>レギュラー</x:v>
      </x:c>
      <x:c r="J14" s="64" t="str">
        <x:v>全コース</x:v>
      </x:c>
      <x:c r="K14" s="66" t="n">
        <x:v>0</x:v>
      </x:c>
      <x:c r="L14" s="66" t="n">
        <x:v>0</x:v>
      </x:c>
      <x:c r="M14" s="68" t="n">
        <x:v>11000</x:v>
      </x:c>
      <x:c r="N14" s="70"/>
      <x:c r="O14" s="117" t="str">
        <x:f>IF(A14="","",IF(COUNTIF($A$5:$A$14,A14)&gt;1,"重複ID（割当停止）","OK"))</x:f>
      </x:c>
    </x:row>
  </x:sheetData>
  <x:mergeCells>
    <x:mergeCell ref="A1:O1"/>
    <x:mergeCell ref="A2:O2"/>
  </x:mergeCells>
  <x:conditionalFormatting sqref="O5:O14">
    <x:cfRule type="containsText" dxfId="9" priority="1" operator="containsText" text="重複ID"/>
  </x:conditionalFormatting>
  <x:dataValidations count="6">
    <x:dataValidation type="list" sqref="C5:C14">
      <x:formula1>"全日,土日,平日"</x:formula1>
    </x:dataValidation>
    <x:dataValidation type="list" sqref="E5:F14">
      <x:formula1>"はい,いいえ"</x:formula1>
    </x:dataValidation>
    <x:dataValidation type="list" sqref="I5:I14">
      <x:formula1>"ジュニア,レギュラー,ベテラン"</x:formula1>
    </x:dataValidation>
    <x:dataValidation type="list" sqref="J5:J14">
      <x:formula1>"全コース,OUT,IN"</x:formula1>
    </x:dataValidation>
    <x:dataValidation type="whole" operator="between" sqref="D5:D14">
      <x:formula1>1</x:formula1>
      <x:formula2>2</x:formula2>
    </x:dataValidation>
    <x:dataValidation type="whole" operator="between" sqref="G5:H14">
      <x:formula1>1</x:formula1>
      <x:formula2>4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4" customHeight="1">
      <x:c r="A1" s="3" t="str">
        <x:v>ラウンド入力（対象日連動）</x:v>
      </x:c>
      <x:c r="B1" s="3"/>
      <x:c r="C1" s="3"/>
      <x:c r="D1" s="3"/>
      <x:c r="E1" s="3"/>
    </x:row>
    <x:row r="2">
      <x:c r="A2" s="4" t="str">
        <x:v>開始時刻の順で入力してください。日付は設定シートの対象日に連動し、所要時間が空欄なら既定値を使います。</x:v>
      </x:c>
      <x:c r="B2" s="4"/>
      <x:c r="C2" s="4"/>
      <x:c r="D2" s="4"/>
      <x:c r="E2" s="4"/>
    </x:row>
    <x:row r="4" ht="32" customHeight="1">
      <x:c r="A4" s="59" t="str">
        <x:v>組ID</x:v>
      </x:c>
      <x:c r="B4" s="60" t="str">
        <x:v>開始日時</x:v>
      </x:c>
      <x:c r="C4" s="60" t="str">
        <x:v>人数</x:v>
      </x:c>
      <x:c r="D4" s="60" t="str">
        <x:v>コース</x:v>
      </x:c>
      <x:c r="E4" s="60" t="str">
        <x:v>所要時間（分）</x:v>
      </x:c>
    </x:row>
    <x:row r="5">
      <x:c r="A5" s="61" t="str">
        <x:v>R1</x:v>
      </x:c>
      <x:c r="B5" s="71" t="n">
        <x:f>IF(A5="","",'設定・説明'!$B$5+TIME(7,0,0))</x:f>
        <x:v>46270.291666666664</x:v>
      </x:c>
      <x:c r="C5" s="62" t="n">
        <x:v>4</x:v>
      </x:c>
      <x:c r="D5" s="62" t="str">
        <x:v>OUT</x:v>
      </x:c>
      <x:c r="E5" s="62" t="n">
        <x:v>270</x:v>
      </x:c>
    </x:row>
    <x:row r="6">
      <x:c r="A6" s="61" t="str">
        <x:v>R2</x:v>
      </x:c>
      <x:c r="B6" s="71" t="n">
        <x:f>IF(A6="","",'設定・説明'!$B$5+TIME(7,20,0))</x:f>
        <x:v>46270.305555555555</x:v>
      </x:c>
      <x:c r="C6" s="62" t="n">
        <x:v>2</x:v>
      </x:c>
      <x:c r="D6" s="62" t="str">
        <x:v>OUT</x:v>
      </x:c>
      <x:c r="E6" s="62" t="n">
        <x:v>270</x:v>
      </x:c>
    </x:row>
    <x:row r="7">
      <x:c r="A7" s="61" t="str">
        <x:v>R3</x:v>
      </x:c>
      <x:c r="B7" s="71" t="n">
        <x:f>IF(A7="","",'設定・説明'!$B$5+TIME(8,0,0))</x:f>
        <x:v>46270.333333333336</x:v>
      </x:c>
      <x:c r="C7" s="62" t="n">
        <x:v>4</x:v>
      </x:c>
      <x:c r="D7" s="62" t="str">
        <x:v>OUT</x:v>
      </x:c>
      <x:c r="E7" s="62" t="n">
        <x:v>270</x:v>
      </x:c>
    </x:row>
    <x:row r="8">
      <x:c r="A8" s="61" t="str">
        <x:v>R4</x:v>
      </x:c>
      <x:c r="B8" s="71" t="n">
        <x:f>IF(A8="","",'設定・説明'!$B$5+TIME(13,30,0))</x:f>
        <x:v>46270.5625</x:v>
      </x:c>
      <x:c r="C8" s="62" t="n">
        <x:v>2</x:v>
      </x:c>
      <x:c r="D8" s="62" t="str">
        <x:v>OUT</x:v>
      </x:c>
      <x:c r="E8" s="62" t="n">
        <x:v>270</x:v>
      </x:c>
    </x:row>
    <x:row r="9">
      <x:c r="A9" s="61" t="str">
        <x:v>R5</x:v>
      </x:c>
      <x:c r="B9" s="71" t="n">
        <x:f>IF(A9="","",'設定・説明'!$B$5+TIME(14,0,0))</x:f>
        <x:v>46270.583333333336</x:v>
      </x:c>
      <x:c r="C9" s="62" t="n">
        <x:v>2</x:v>
      </x:c>
      <x:c r="D9" s="62" t="str">
        <x:v>OUT</x:v>
      </x:c>
      <x:c r="E9" s="62" t="n">
        <x:v>270</x:v>
      </x:c>
    </x:row>
    <x:row r="10">
      <x:c r="A10" s="61"/>
      <x:c r="B10" s="71"/>
      <x:c r="C10" s="62"/>
      <x:c r="D10" s="62" t="str">
        <x:v>OUT</x:v>
      </x:c>
      <x:c r="E10" s="62"/>
    </x:row>
    <x:row r="11">
      <x:c r="A11" s="61"/>
      <x:c r="B11" s="71"/>
      <x:c r="C11" s="62"/>
      <x:c r="D11" s="62" t="str">
        <x:v>OUT</x:v>
      </x:c>
      <x:c r="E11" s="62"/>
    </x:row>
    <x:row r="12">
      <x:c r="A12" s="61"/>
      <x:c r="B12" s="71"/>
      <x:c r="C12" s="62"/>
      <x:c r="D12" s="62" t="str">
        <x:v>OUT</x:v>
      </x:c>
      <x:c r="E12" s="62"/>
    </x:row>
    <x:row r="13">
      <x:c r="A13" s="61"/>
      <x:c r="B13" s="71"/>
      <x:c r="C13" s="62"/>
      <x:c r="D13" s="62" t="str">
        <x:v>OUT</x:v>
      </x:c>
      <x:c r="E13" s="62"/>
    </x:row>
    <x:row r="14">
      <x:c r="A14" s="61"/>
      <x:c r="B14" s="71"/>
      <x:c r="C14" s="62"/>
      <x:c r="D14" s="62" t="str">
        <x:v>OUT</x:v>
      </x:c>
      <x:c r="E14" s="62"/>
    </x:row>
    <x:row r="15">
      <x:c r="A15" s="61"/>
      <x:c r="B15" s="71"/>
      <x:c r="C15" s="62"/>
      <x:c r="D15" s="62" t="str">
        <x:v>OUT</x:v>
      </x:c>
      <x:c r="E15" s="62"/>
    </x:row>
    <x:row r="16">
      <x:c r="A16" s="61"/>
      <x:c r="B16" s="71"/>
      <x:c r="C16" s="62"/>
      <x:c r="D16" s="62" t="str">
        <x:v>OUT</x:v>
      </x:c>
      <x:c r="E16" s="62"/>
    </x:row>
    <x:row r="17">
      <x:c r="A17" s="61"/>
      <x:c r="B17" s="71"/>
      <x:c r="C17" s="62"/>
      <x:c r="D17" s="62" t="str">
        <x:v>OUT</x:v>
      </x:c>
      <x:c r="E17" s="62"/>
    </x:row>
    <x:row r="18">
      <x:c r="A18" s="61"/>
      <x:c r="B18" s="71"/>
      <x:c r="C18" s="62"/>
      <x:c r="D18" s="62" t="str">
        <x:v>OUT</x:v>
      </x:c>
      <x:c r="E18" s="62"/>
    </x:row>
    <x:row r="19">
      <x:c r="A19" s="63"/>
      <x:c r="B19" s="72"/>
      <x:c r="C19" s="64"/>
      <x:c r="D19" s="64" t="str">
        <x:v>OUT</x:v>
      </x:c>
      <x:c r="E19" s="64"/>
    </x:row>
  </x:sheetData>
  <x:mergeCells>
    <x:mergeCell ref="A1:E1"/>
    <x:mergeCell ref="A2:E2"/>
  </x:mergeCells>
  <x:dataValidations count="3">
    <x:dataValidation type="whole" operator="between" sqref="C5:C19">
      <x:formula1>1</x:formula1>
      <x:formula2>4</x:formula2>
    </x:dataValidation>
    <x:dataValidation type="list" sqref="D5:D19">
      <x:formula1>"OUT,IN"</x:formula1>
    </x:dataValidation>
    <x:dataValidation type="whole" operator="between" sqref="E5:E19">
      <x:formula1>60</x:formula1>
      <x:formula2>600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1" hidden="0" customWidth="1"/>
    <x:col min="3" max="3" width="12" hidden="0" customWidth="1"/>
    <x:col min="4" max="4" width="12" hidden="0" customWidth="1"/>
    <x:col min="5" max="5" width="12" hidden="0" customWidth="1"/>
    <x:col min="6" max="6" width="15" hidden="0" customWidth="1"/>
    <x:col min="7" max="7" width="15" hidden="0" customWidth="1"/>
    <x:col min="8" max="8" width="12" hidden="0" customWidth="1"/>
    <x:col min="9" max="9" width="12" hidden="0" customWidth="1"/>
    <x:col min="10" max="10" width="24" hidden="0" customWidth="1"/>
    <x:col min="11" max="11" width="18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2" hidden="0" customWidth="1"/>
  </x:cols>
  <x:sheetData>
    <x:row r="1" ht="34" customHeight="1">
      <x:c r="A1" s="3" t="str">
        <x:v>割当シミュレーション（逐次ヒューリスティック）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>
      <x:c r="A2" s="4" t="str">
        <x:v>各候補の点数を右側に表示します。-9999はHard条件不適合です。割当は入力行の上から順に決まります。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</x:row>
    <x:row r="3">
      <x:c r="L3" t="str">
        <x:f>IF('キャディ条件'!A5="","",'キャディ条件'!A5)</x:f>
        <x:v>cad_sato</x:v>
      </x:c>
      <x:c r="M3" t="str">
        <x:f>IF('キャディ条件'!A6="","",'キャディ条件'!A6)</x:f>
        <x:v>cad_suzuki</x:v>
      </x:c>
      <x:c r="N3" t="str">
        <x:f>IF('キャディ条件'!A7="","",'キャディ条件'!A7)</x:f>
        <x:v>cad_tanaka</x:v>
      </x:c>
      <x:c r="O3" t="str">
        <x:f>IF('キャディ条件'!A8="","",'キャディ条件'!A8)</x:f>
        <x:v>cad_yamamoto</x:v>
      </x:c>
      <x:c r="P3" t="str">
        <x:f>IF('キャディ条件'!A9="","",'キャディ条件'!A9)</x:f>
        <x:v>cad_ito</x:v>
      </x:c>
      <x:c r="Q3" t="str">
        <x:f>IF('キャディ条件'!A10="","",'キャディ条件'!A10)</x:f>
      </x:c>
      <x:c r="R3" t="str">
        <x:f>IF('キャディ条件'!A11="","",'キャディ条件'!A11)</x:f>
      </x:c>
      <x:c r="S3" t="str">
        <x:f>IF('キャディ条件'!A12="","",'キャディ条件'!A12)</x:f>
      </x:c>
      <x:c r="T3" t="str">
        <x:f>IF('キャディ条件'!A13="","",'キャディ条件'!A13)</x:f>
      </x:c>
      <x:c r="U3" t="str">
        <x:f>IF('キャディ条件'!A14="","",'キャディ条件'!A14)</x:f>
      </x:c>
    </x:row>
    <x:row r="4" ht="32" customHeight="1">
      <x:c r="A4" s="59" t="str">
        <x:v>組ID</x:v>
      </x:c>
      <x:c r="B4" s="60" t="str">
        <x:v>開始日時</x:v>
      </x:c>
      <x:c r="C4" s="60" t="str">
        <x:v>人数</x:v>
      </x:c>
      <x:c r="D4" s="60" t="str">
        <x:v>コース</x:v>
      </x:c>
      <x:c r="E4" s="60" t="str">
        <x:v>所要時間</x:v>
      </x:c>
      <x:c r="F4" s="60" t="str">
        <x:v>割当ID</x:v>
      </x:c>
      <x:c r="G4" s="60" t="str">
        <x:v>割当氏名</x:v>
      </x:c>
      <x:c r="H4" s="60" t="str">
        <x:v>終了</x:v>
      </x:c>
      <x:c r="I4" s="60" t="str">
        <x:v>次回可能</x:v>
      </x:c>
      <x:c r="J4" s="60" t="str">
        <x:v>割当理由</x:v>
      </x:c>
      <x:c r="K4" s="60" t="str">
        <x:v>警告</x:v>
      </x:c>
      <x:c r="L4" s="60" t="str">
        <x:v>佐藤点</x:v>
      </x:c>
      <x:c r="M4" s="60" t="str">
        <x:v>鈴木点</x:v>
      </x:c>
      <x:c r="N4" s="60" t="str">
        <x:v>田中点</x:v>
      </x:c>
      <x:c r="O4" s="60" t="str">
        <x:v>山本点</x:v>
      </x:c>
      <x:c r="P4" s="60" t="str">
        <x:v>伊藤点</x:v>
      </x:c>
      <x:c r="Q4" s="60" t="str">
        <x:v>候補6</x:v>
      </x:c>
      <x:c r="R4" s="60" t="str">
        <x:v>候補7</x:v>
      </x:c>
      <x:c r="S4" s="60" t="str">
        <x:v>候補8</x:v>
      </x:c>
      <x:c r="T4" s="60" t="str">
        <x:v>候補9</x:v>
      </x:c>
      <x:c r="U4" s="60" t="str">
        <x:v>候補10</x:v>
      </x:c>
      <x:c r="V4" s="60" t="str">
        <x:v>希望一致</x:v>
      </x:c>
    </x:row>
    <x:row r="5">
      <x:c r="A5" s="73" t="str">
        <x:f>IF('ラウンド入力'!A5="","",'ラウンド入力'!A5)</x:f>
        <x:v>R1</x:v>
      </x:c>
      <x:c r="B5" s="79" t="n">
        <x:f>IF('ラウンド入力'!A5="","",'ラウンド入力'!B5)</x:f>
        <x:v>46270.291666666664</x:v>
      </x:c>
      <x:c r="C5" s="74" t="n">
        <x:f>IF('ラウンド入力'!A5="","",'ラウンド入力'!C5)</x:f>
        <x:v>4</x:v>
      </x:c>
      <x:c r="D5" s="74" t="str">
        <x:f>IF('ラウンド入力'!A5="","",'ラウンド入力'!D5)</x:f>
        <x:v>OUT</x:v>
      </x:c>
      <x:c r="E5" s="74" t="n">
        <x:f>IF('ラウンド入力'!A5="","",IF('ラウンド入力'!E5="",'設定・説明'!$B$6,'ラウンド入力'!E5))</x:f>
        <x:v>270</x:v>
      </x:c>
      <x:c r="F5" s="74" t="str">
        <x:f>IF($A5="","",IF(COUNTIF(L5:U5,"&gt;-9999")=0,"未割当",INDEX($L$3:$U$3,1,MATCH(MAX(L5:U5),L5:U5,0))))</x:f>
        <x:v>cad_tanaka</x:v>
      </x:c>
      <x:c r="G5" s="74" t="str">
        <x:f>IF(OR($F5="",$F5="未割当"),"",INDEX('キャディ条件'!$B$5:$B$14,MATCH($F5,'キャディ条件'!$A$5:$A$14,0)))</x:f>
        <x:v>田中</x:v>
      </x:c>
      <x:c r="H5" s="81" t="n">
        <x:f>IF($A5="","",$B5+$E5/1440)</x:f>
        <x:v>46270.479166666664</x:v>
      </x:c>
      <x:c r="I5" s="81" t="n">
        <x:f>IF($A5="","",$H5+'設定・説明'!$B$7/1440)</x:f>
        <x:v>46270.52083333333</x:v>
      </x:c>
      <x:c r="J5" s="85" t="str">
        <x:f>IF($A5="","",IF($F5="未割当","Hard条件を満たす候補なし",IF(INDEX('キャディ条件'!$H$5:$H$14,MATCH($F5,'キャディ条件'!$A$5:$A$14,0))=$C5,"人数希望一致",IF(AND(INDEX('キャディ条件'!$F$5:$F$14,MATCH($F5,'キャディ条件'!$A$5:$A$14,0))="はい",COUNTIF($F$5:$F$19,$F5)=2),"2ラウンド希望を考慮","公平性・残容量"))))</x:f>
        <x:v>2ラウンド希望を考慮</x:v>
      </x:c>
      <x:c r="K5" s="85" t="str">
        <x:f>IF($A5="","",IF($F5="未割当","要手動調整",""))</x:f>
      </x:c>
      <x:c r="L5" s="83" t="n">
        <x:f>IF(OR(L$3="",$A5=""),"",IF(AND(COUNTIF('キャディ条件'!$A$5:$A$14,L$3)=1,OR('キャディ条件'!$C$5="全日",AND('キャディ条件'!$C$5="土日",WEEKDAY($B5,2)&gt;=6),AND('キャディ条件'!$C$5="平日",WEEKDAY($B5,2)&lt;=5)),$C5&lt;='キャディ条件'!$G$5,OR('キャディ条件'!$J$5="全コース",'キャディ条件'!$J$5=$D5),COUNTIF($F$4:F4,L$3)&lt;'キャディ条件'!$D$5,OR(COUNTIF($F$4:F4,L$3)=0,'キャディ条件'!$E$5="はい"),COUNTIFS($F$4:F4,L$3,$I$4:I4,"&gt;"&amp;$B5)=0),100+IF('キャディ条件'!$H$5=$C5,'設定・説明'!$B$9,0)+IF(AND('キャディ条件'!$E$5="はい",'キャディ条件'!$F$5="はい",OR(COUNTIF($F$4:F4,L$3)=1,AND(COUNTIF($F$4:F4,L$3)=0,IF('キャディ条件'!$J$5="全コース",COUNTIFS('ラウンド入力'!$A$6:$A$19,"&lt;&gt;",'ラウンド入力'!$B$6:$B$19,"&gt;="&amp;($B5+$E5/1440+'設定・説明'!$B$7/1440),'ラウンド入力'!$C$6:$C$19,"&lt;="&amp;'キャディ条件'!$G$5),COUNTIFS('ラウンド入力'!$A$6:$A$19,"&lt;&gt;",'ラウンド入力'!$B$6:$B$19,"&gt;="&amp;($B5+$E5/1440+'設定・説明'!$B$7/1440),'ラウンド入力'!$C$6:$C$19,"&lt;="&amp;'キャディ条件'!$G$5,'ラウンド入力'!$D$6:$D$19,'キャディ条件'!$J$5))&gt;0))),'設定・説明'!$B$10,0)+IF(AND('キャディ条件'!$I$5="ベテラン",$C5=4),'設定・説明'!$B$13,0)-('キャディ条件'!$K$5+COUNTIF($F$4:F4,L$3))*'設定・説明'!$B$11-('キャディ条件'!$L$5+COUNTIFS($F$4:F4,L$3,$C$4:C4,4))*'設定・説明'!$B$12,-9999))</x:f>
        <x:v>-9999</x:v>
      </x:c>
      <x:c r="M5" s="83" t="n">
        <x:f>IF(OR(M$3="",$A5=""),"",IF(AND(COUNTIF('キャディ条件'!$A$5:$A$14,M$3)=1,OR('キャディ条件'!$C$6="全日",AND('キャディ条件'!$C$6="土日",WEEKDAY($B5,2)&gt;=6),AND('キャディ条件'!$C$6="平日",WEEKDAY($B5,2)&lt;=5)),$C5&lt;='キャディ条件'!$G$6,OR('キャディ条件'!$J$6="全コース",'キャディ条件'!$J$6=$D5),COUNTIF($F$4:F4,M$3)&lt;'キャディ条件'!$D$6,OR(COUNTIF($F$4:F4,M$3)=0,'キャディ条件'!$E$6="はい"),COUNTIFS($F$4:F4,M$3,$I$4:I4,"&gt;"&amp;$B5)=0),100+IF('キャディ条件'!$H$6=$C5,'設定・説明'!$B$9,0)+IF(AND('キャディ条件'!$E$6="はい",'キャディ条件'!$F$6="はい",OR(COUNTIF($F$4:F4,M$3)=1,AND(COUNTIF($F$4:F4,M$3)=0,IF('キャディ条件'!$J$6="全コース",COUNTIFS('ラウンド入力'!$A$6:$A$19,"&lt;&gt;",'ラウンド入力'!$B$6:$B$19,"&gt;="&amp;($B5+$E5/1440+'設定・説明'!$B$7/1440),'ラウンド入力'!$C$6:$C$19,"&lt;="&amp;'キャディ条件'!$G$6),COUNTIFS('ラウンド入力'!$A$6:$A$19,"&lt;&gt;",'ラウンド入力'!$B$6:$B$19,"&gt;="&amp;($B5+$E5/1440+'設定・説明'!$B$7/1440),'ラウンド入力'!$C$6:$C$19,"&lt;="&amp;'キャディ条件'!$G$6,'ラウンド入力'!$D$6:$D$19,'キャディ条件'!$J$6))&gt;0))),'設定・説明'!$B$10,0)+IF(AND('キャディ条件'!$I$6="ベテラン",$C5=4),'設定・説明'!$B$13,0)-('キャディ条件'!$K$6+COUNTIF($F$4:F4,M$3))*'設定・説明'!$B$11-('キャディ条件'!$L$6+COUNTIFS($F$4:F4,M$3,$C$4:C4,4))*'設定・説明'!$B$12,-9999))</x:f>
        <x:v>115</x:v>
      </x:c>
      <x:c r="N5" s="83" t="n">
        <x:f>IF(OR(N$3="",$A5=""),"",IF(AND(COUNTIF('キャディ条件'!$A$5:$A$14,N$3)=1,OR('キャディ条件'!$C$7="全日",AND('キャディ条件'!$C$7="土日",WEEKDAY($B5,2)&gt;=6),AND('キャディ条件'!$C$7="平日",WEEKDAY($B5,2)&lt;=5)),$C5&lt;='キャディ条件'!$G$7,OR('キャディ条件'!$J$7="全コース",'キャディ条件'!$J$7=$D5),COUNTIF($F$4:F4,N$3)&lt;'キャディ条件'!$D$7,OR(COUNTIF($F$4:F4,N$3)=0,'キャディ条件'!$E$7="はい"),COUNTIFS($F$4:F4,N$3,$I$4:I4,"&gt;"&amp;$B5)=0),100+IF('キャディ条件'!$H$7=$C5,'設定・説明'!$B$9,0)+IF(AND('キャディ条件'!$E$7="はい",'キャディ条件'!$F$7="はい",OR(COUNTIF($F$4:F4,N$3)=1,AND(COUNTIF($F$4:F4,N$3)=0,IF('キャディ条件'!$J$7="全コース",COUNTIFS('ラウンド入力'!$A$6:$A$19,"&lt;&gt;",'ラウンド入力'!$B$6:$B$19,"&gt;="&amp;($B5+$E5/1440+'設定・説明'!$B$7/1440),'ラウンド入力'!$C$6:$C$19,"&lt;="&amp;'キャディ条件'!$G$7),COUNTIFS('ラウンド入力'!$A$6:$A$19,"&lt;&gt;",'ラウンド入力'!$B$6:$B$19,"&gt;="&amp;($B5+$E5/1440+'設定・説明'!$B$7/1440),'ラウンド入力'!$C$6:$C$19,"&lt;="&amp;'キャディ条件'!$G$7,'ラウンド入力'!$D$6:$D$19,'キャディ条件'!$J$7))&gt;0))),'設定・説明'!$B$10,0)+IF(AND('キャディ条件'!$I$7="ベテラン",$C5=4),'設定・説明'!$B$13,0)-('キャディ条件'!$K$7+COUNTIF($F$4:F4,N$3))*'設定・説明'!$B$11-('キャディ条件'!$L$7+COUNTIFS($F$4:F4,N$3,$C$4:C4,4))*'設定・説明'!$B$12,-9999))</x:f>
        <x:v>127</x:v>
      </x:c>
      <x:c r="O5" s="83" t="n">
        <x:f>IF(OR(O$3="",$A5=""),"",IF(AND(COUNTIF('キャディ条件'!$A$5:$A$14,O$3)=1,OR('キャディ条件'!$C$8="全日",AND('キャディ条件'!$C$8="土日",WEEKDAY($B5,2)&gt;=6),AND('キャディ条件'!$C$8="平日",WEEKDAY($B5,2)&lt;=5)),$C5&lt;='キャディ条件'!$G$8,OR('キャディ条件'!$J$8="全コース",'キャディ条件'!$J$8=$D5),COUNTIF($F$4:F4,O$3)&lt;'キャディ条件'!$D$8,OR(COUNTIF($F$4:F4,O$3)=0,'キャディ条件'!$E$8="はい"),COUNTIFS($F$4:F4,O$3,$I$4:I4,"&gt;"&amp;$B5)=0),100+IF('キャディ条件'!$H$8=$C5,'設定・説明'!$B$9,0)+IF(AND('キャディ条件'!$E$8="はい",'キャディ条件'!$F$8="はい",OR(COUNTIF($F$4:F4,O$3)=1,AND(COUNTIF($F$4:F4,O$3)=0,IF('キャディ条件'!$J$8="全コース",COUNTIFS('ラウンド入力'!$A$6:$A$19,"&lt;&gt;",'ラウンド入力'!$B$6:$B$19,"&gt;="&amp;($B5+$E5/1440+'設定・説明'!$B$7/1440),'ラウンド入力'!$C$6:$C$19,"&lt;="&amp;'キャディ条件'!$G$8),COUNTIFS('ラウンド入力'!$A$6:$A$19,"&lt;&gt;",'ラウンド入力'!$B$6:$B$19,"&gt;="&amp;($B5+$E5/1440+'設定・説明'!$B$7/1440),'ラウンド入力'!$C$6:$C$19,"&lt;="&amp;'キャディ条件'!$G$8,'ラウンド入力'!$D$6:$D$19,'キャディ条件'!$J$8))&gt;0))),'設定・説明'!$B$10,0)+IF(AND('キャディ条件'!$I$8="ベテラン",$C5=4),'設定・説明'!$B$13,0)-('キャディ条件'!$K$8+COUNTIF($F$4:F4,O$3))*'設定・説明'!$B$11-('キャディ条件'!$L$8+COUNTIFS($F$4:F4,O$3,$C$4:C4,4))*'設定・説明'!$B$12,-9999))</x:f>
        <x:v>-9999</x:v>
      </x:c>
      <x:c r="P5" s="83" t="n">
        <x:f>IF(OR(P$3="",$A5=""),"",IF(AND(COUNTIF('キャディ条件'!$A$5:$A$14,P$3)=1,OR('キャディ条件'!$C$9="全日",AND('キャディ条件'!$C$9="土日",WEEKDAY($B5,2)&gt;=6),AND('キャディ条件'!$C$9="平日",WEEKDAY($B5,2)&lt;=5)),$C5&lt;='キャディ条件'!$G$9,OR('キャディ条件'!$J$9="全コース",'キャディ条件'!$J$9=$D5),COUNTIF($F$4:F4,P$3)&lt;'キャディ条件'!$D$9,OR(COUNTIF($F$4:F4,P$3)=0,'キャディ条件'!$E$9="はい"),COUNTIFS($F$4:F4,P$3,$I$4:I4,"&gt;"&amp;$B5)=0),100+IF('キャディ条件'!$H$9=$C5,'設定・説明'!$B$9,0)+IF(AND('キャディ条件'!$E$9="はい",'キャディ条件'!$F$9="はい",OR(COUNTIF($F$4:F4,P$3)=1,AND(COUNTIF($F$4:F4,P$3)=0,IF('キャディ条件'!$J$9="全コース",COUNTIFS('ラウンド入力'!$A$6:$A$19,"&lt;&gt;",'ラウンド入力'!$B$6:$B$19,"&gt;="&amp;($B5+$E5/1440+'設定・説明'!$B$7/1440),'ラウンド入力'!$C$6:$C$19,"&lt;="&amp;'キャディ条件'!$G$9),COUNTIFS('ラウンド入力'!$A$6:$A$19,"&lt;&gt;",'ラウンド入力'!$B$6:$B$19,"&gt;="&amp;($B5+$E5/1440+'設定・説明'!$B$7/1440),'ラウンド入力'!$C$6:$C$19,"&lt;="&amp;'キャディ条件'!$G$9,'ラウンド入力'!$D$6:$D$19,'キャディ条件'!$J$9))&gt;0))),'設定・説明'!$B$10,0)+IF(AND('キャディ条件'!$I$9="ベテラン",$C5=4),'設定・説明'!$B$13,0)-('キャディ条件'!$K$9+COUNTIF($F$4:F4,P$3))*'設定・説明'!$B$11-('キャディ条件'!$L$9+COUNTIFS($F$4:F4,P$3,$C$4:C4,4))*'設定・説明'!$B$12,-9999))</x:f>
        <x:v>96</x:v>
      </x:c>
      <x:c r="Q5" s="83" t="str">
        <x:f>IF(OR(Q$3="",$A5=""),"",IF(AND(COUNTIF('キャディ条件'!$A$5:$A$14,Q$3)=1,OR('キャディ条件'!$C$10="全日",AND('キャディ条件'!$C$10="土日",WEEKDAY($B5,2)&gt;=6),AND('キャディ条件'!$C$10="平日",WEEKDAY($B5,2)&lt;=5)),$C5&lt;='キャディ条件'!$G$10,OR('キャディ条件'!$J$10="全コース",'キャディ条件'!$J$10=$D5),COUNTIF($F$4:F4,Q$3)&lt;'キャディ条件'!$D$10,OR(COUNTIF($F$4:F4,Q$3)=0,'キャディ条件'!$E$10="はい"),COUNTIFS($F$4:F4,Q$3,$I$4:I4,"&gt;"&amp;$B5)=0),100+IF('キャディ条件'!$H$10=$C5,'設定・説明'!$B$9,0)+IF(AND('キャディ条件'!$E$10="はい",'キャディ条件'!$F$10="はい",OR(COUNTIF($F$4:F4,Q$3)=1,AND(COUNTIF($F$4:F4,Q$3)=0,IF('キャディ条件'!$J$10="全コース",COUNTIFS('ラウンド入力'!$A$6:$A$19,"&lt;&gt;",'ラウンド入力'!$B$6:$B$19,"&gt;="&amp;($B5+$E5/1440+'設定・説明'!$B$7/1440),'ラウンド入力'!$C$6:$C$19,"&lt;="&amp;'キャディ条件'!$G$10),COUNTIFS('ラウンド入力'!$A$6:$A$19,"&lt;&gt;",'ラウンド入力'!$B$6:$B$19,"&gt;="&amp;($B5+$E5/1440+'設定・説明'!$B$7/1440),'ラウンド入力'!$C$6:$C$19,"&lt;="&amp;'キャディ条件'!$G$10,'ラウンド入力'!$D$6:$D$19,'キャディ条件'!$J$10))&gt;0))),'設定・説明'!$B$10,0)+IF(AND('キャディ条件'!$I$10="ベテラン",$C5=4),'設定・説明'!$B$13,0)-('キャディ条件'!$K$10+COUNTIF($F$4:F4,Q$3))*'設定・説明'!$B$11-('キャディ条件'!$L$10+COUNTIFS($F$4:F4,Q$3,$C$4:C4,4))*'設定・説明'!$B$12,-9999))</x:f>
      </x:c>
      <x:c r="R5" s="83" t="str">
        <x:f>IF(OR(R$3="",$A5=""),"",IF(AND(COUNTIF('キャディ条件'!$A$5:$A$14,R$3)=1,OR('キャディ条件'!$C$11="全日",AND('キャディ条件'!$C$11="土日",WEEKDAY($B5,2)&gt;=6),AND('キャディ条件'!$C$11="平日",WEEKDAY($B5,2)&lt;=5)),$C5&lt;='キャディ条件'!$G$11,OR('キャディ条件'!$J$11="全コース",'キャディ条件'!$J$11=$D5),COUNTIF($F$4:F4,R$3)&lt;'キャディ条件'!$D$11,OR(COUNTIF($F$4:F4,R$3)=0,'キャディ条件'!$E$11="はい"),COUNTIFS($F$4:F4,R$3,$I$4:I4,"&gt;"&amp;$B5)=0),100+IF('キャディ条件'!$H$11=$C5,'設定・説明'!$B$9,0)+IF(AND('キャディ条件'!$E$11="はい",'キャディ条件'!$F$11="はい",OR(COUNTIF($F$4:F4,R$3)=1,AND(COUNTIF($F$4:F4,R$3)=0,IF('キャディ条件'!$J$11="全コース",COUNTIFS('ラウンド入力'!$A$6:$A$19,"&lt;&gt;",'ラウンド入力'!$B$6:$B$19,"&gt;="&amp;($B5+$E5/1440+'設定・説明'!$B$7/1440),'ラウンド入力'!$C$6:$C$19,"&lt;="&amp;'キャディ条件'!$G$11),COUNTIFS('ラウンド入力'!$A$6:$A$19,"&lt;&gt;",'ラウンド入力'!$B$6:$B$19,"&gt;="&amp;($B5+$E5/1440+'設定・説明'!$B$7/1440),'ラウンド入力'!$C$6:$C$19,"&lt;="&amp;'キャディ条件'!$G$11,'ラウンド入力'!$D$6:$D$19,'キャディ条件'!$J$11))&gt;0))),'設定・説明'!$B$10,0)+IF(AND('キャディ条件'!$I$11="ベテラン",$C5=4),'設定・説明'!$B$13,0)-('キャディ条件'!$K$11+COUNTIF($F$4:F4,R$3))*'設定・説明'!$B$11-('キャディ条件'!$L$11+COUNTIFS($F$4:F4,R$3,$C$4:C4,4))*'設定・説明'!$B$12,-9999))</x:f>
      </x:c>
      <x:c r="S5" s="83" t="str">
        <x:f>IF(OR(S$3="",$A5=""),"",IF(AND(COUNTIF('キャディ条件'!$A$5:$A$14,S$3)=1,OR('キャディ条件'!$C$12="全日",AND('キャディ条件'!$C$12="土日",WEEKDAY($B5,2)&gt;=6),AND('キャディ条件'!$C$12="平日",WEEKDAY($B5,2)&lt;=5)),$C5&lt;='キャディ条件'!$G$12,OR('キャディ条件'!$J$12="全コース",'キャディ条件'!$J$12=$D5),COUNTIF($F$4:F4,S$3)&lt;'キャディ条件'!$D$12,OR(COUNTIF($F$4:F4,S$3)=0,'キャディ条件'!$E$12="はい"),COUNTIFS($F$4:F4,S$3,$I$4:I4,"&gt;"&amp;$B5)=0),100+IF('キャディ条件'!$H$12=$C5,'設定・説明'!$B$9,0)+IF(AND('キャディ条件'!$E$12="はい",'キャディ条件'!$F$12="はい",OR(COUNTIF($F$4:F4,S$3)=1,AND(COUNTIF($F$4:F4,S$3)=0,IF('キャディ条件'!$J$12="全コース",COUNTIFS('ラウンド入力'!$A$6:$A$19,"&lt;&gt;",'ラウンド入力'!$B$6:$B$19,"&gt;="&amp;($B5+$E5/1440+'設定・説明'!$B$7/1440),'ラウンド入力'!$C$6:$C$19,"&lt;="&amp;'キャディ条件'!$G$12),COUNTIFS('ラウンド入力'!$A$6:$A$19,"&lt;&gt;",'ラウンド入力'!$B$6:$B$19,"&gt;="&amp;($B5+$E5/1440+'設定・説明'!$B$7/1440),'ラウンド入力'!$C$6:$C$19,"&lt;="&amp;'キャディ条件'!$G$12,'ラウンド入力'!$D$6:$D$19,'キャディ条件'!$J$12))&gt;0))),'設定・説明'!$B$10,0)+IF(AND('キャディ条件'!$I$12="ベテラン",$C5=4),'設定・説明'!$B$13,0)-('キャディ条件'!$K$12+COUNTIF($F$4:F4,S$3))*'設定・説明'!$B$11-('キャディ条件'!$L$12+COUNTIFS($F$4:F4,S$3,$C$4:C4,4))*'設定・説明'!$B$12,-9999))</x:f>
      </x:c>
      <x:c r="T5" s="83" t="str">
        <x:f>IF(OR(T$3="",$A5=""),"",IF(AND(COUNTIF('キャディ条件'!$A$5:$A$14,T$3)=1,OR('キャディ条件'!$C$13="全日",AND('キャディ条件'!$C$13="土日",WEEKDAY($B5,2)&gt;=6),AND('キャディ条件'!$C$13="平日",WEEKDAY($B5,2)&lt;=5)),$C5&lt;='キャディ条件'!$G$13,OR('キャディ条件'!$J$13="全コース",'キャディ条件'!$J$13=$D5),COUNTIF($F$4:F4,T$3)&lt;'キャディ条件'!$D$13,OR(COUNTIF($F$4:F4,T$3)=0,'キャディ条件'!$E$13="はい"),COUNTIFS($F$4:F4,T$3,$I$4:I4,"&gt;"&amp;$B5)=0),100+IF('キャディ条件'!$H$13=$C5,'設定・説明'!$B$9,0)+IF(AND('キャディ条件'!$E$13="はい",'キャディ条件'!$F$13="はい",OR(COUNTIF($F$4:F4,T$3)=1,AND(COUNTIF($F$4:F4,T$3)=0,IF('キャディ条件'!$J$13="全コース",COUNTIFS('ラウンド入力'!$A$6:$A$19,"&lt;&gt;",'ラウンド入力'!$B$6:$B$19,"&gt;="&amp;($B5+$E5/1440+'設定・説明'!$B$7/1440),'ラウンド入力'!$C$6:$C$19,"&lt;="&amp;'キャディ条件'!$G$13),COUNTIFS('ラウンド入力'!$A$6:$A$19,"&lt;&gt;",'ラウンド入力'!$B$6:$B$19,"&gt;="&amp;($B5+$E5/1440+'設定・説明'!$B$7/1440),'ラウンド入力'!$C$6:$C$19,"&lt;="&amp;'キャディ条件'!$G$13,'ラウンド入力'!$D$6:$D$19,'キャディ条件'!$J$13))&gt;0))),'設定・説明'!$B$10,0)+IF(AND('キャディ条件'!$I$13="ベテラン",$C5=4),'設定・説明'!$B$13,0)-('キャディ条件'!$K$13+COUNTIF($F$4:F4,T$3))*'設定・説明'!$B$11-('キャディ条件'!$L$13+COUNTIFS($F$4:F4,T$3,$C$4:C4,4))*'設定・説明'!$B$12,-9999))</x:f>
      </x:c>
      <x:c r="U5" s="83" t="str">
        <x:f>IF(OR(U$3="",$A5=""),"",IF(AND(COUNTIF('キャディ条件'!$A$5:$A$14,U$3)=1,OR('キャディ条件'!$C$14="全日",AND('キャディ条件'!$C$14="土日",WEEKDAY($B5,2)&gt;=6),AND('キャディ条件'!$C$14="平日",WEEKDAY($B5,2)&lt;=5)),$C5&lt;='キャディ条件'!$G$14,OR('キャディ条件'!$J$14="全コース",'キャディ条件'!$J$14=$D5),COUNTIF($F$4:F4,U$3)&lt;'キャディ条件'!$D$14,OR(COUNTIF($F$4:F4,U$3)=0,'キャディ条件'!$E$14="はい"),COUNTIFS($F$4:F4,U$3,$I$4:I4,"&gt;"&amp;$B5)=0),100+IF('キャディ条件'!$H$14=$C5,'設定・説明'!$B$9,0)+IF(AND('キャディ条件'!$E$14="はい",'キャディ条件'!$F$14="はい",OR(COUNTIF($F$4:F4,U$3)=1,AND(COUNTIF($F$4:F4,U$3)=0,IF('キャディ条件'!$J$14="全コース",COUNTIFS('ラウンド入力'!$A$6:$A$19,"&lt;&gt;",'ラウンド入力'!$B$6:$B$19,"&gt;="&amp;($B5+$E5/1440+'設定・説明'!$B$7/1440),'ラウンド入力'!$C$6:$C$19,"&lt;="&amp;'キャディ条件'!$G$14),COUNTIFS('ラウンド入力'!$A$6:$A$19,"&lt;&gt;",'ラウンド入力'!$B$6:$B$19,"&gt;="&amp;($B5+$E5/1440+'設定・説明'!$B$7/1440),'ラウンド入力'!$C$6:$C$19,"&lt;="&amp;'キャディ条件'!$G$14,'ラウンド入力'!$D$6:$D$19,'キャディ条件'!$J$14))&gt;0))),'設定・説明'!$B$10,0)+IF(AND('キャディ条件'!$I$14="ベテラン",$C5=4),'設定・説明'!$B$13,0)-('キャディ条件'!$K$14+COUNTIF($F$4:F4,U$3))*'設定・説明'!$B$11-('キャディ条件'!$L$14+COUNTIFS($F$4:F4,U$3,$C$4:C4,4))*'設定・説明'!$B$12,-9999))</x:f>
      </x:c>
      <x:c r="V5" s="74" t="n">
        <x:f>IF($A5="","",IF($J5="人数希望一致",1,0))</x:f>
        <x:v>0</x:v>
      </x:c>
    </x:row>
    <x:row r="6">
      <x:c r="A6" s="73" t="str">
        <x:f>IF('ラウンド入力'!A6="","",'ラウンド入力'!A6)</x:f>
        <x:v>R2</x:v>
      </x:c>
      <x:c r="B6" s="79" t="n">
        <x:f>IF('ラウンド入力'!A6="","",'ラウンド入力'!B6)</x:f>
        <x:v>46270.305555555555</x:v>
      </x:c>
      <x:c r="C6" s="74" t="n">
        <x:f>IF('ラウンド入力'!A6="","",'ラウンド入力'!C6)</x:f>
        <x:v>2</x:v>
      </x:c>
      <x:c r="D6" s="74" t="str">
        <x:f>IF('ラウンド入力'!A6="","",'ラウンド入力'!D6)</x:f>
        <x:v>OUT</x:v>
      </x:c>
      <x:c r="E6" s="74" t="n">
        <x:f>IF('ラウンド入力'!A6="","",IF('ラウンド入力'!E6="",'設定・説明'!$B$6,'ラウンド入力'!E6))</x:f>
        <x:v>270</x:v>
      </x:c>
      <x:c r="F6" s="74" t="str">
        <x:f>IF($A6="","",IF(COUNTIF(L6:U6,"&gt;-9999")=0,"未割当",INDEX($L$3:$U$3,1,MATCH(MAX(L6:U6),L6:U6,0))))</x:f>
        <x:v>cad_sato</x:v>
      </x:c>
      <x:c r="G6" s="74" t="str">
        <x:f>IF(OR($F6="",$F6="未割当"),"",INDEX('キャディ条件'!$B$5:$B$14,MATCH($F6,'キャディ条件'!$A$5:$A$14,0)))</x:f>
        <x:v>佐藤</x:v>
      </x:c>
      <x:c r="H6" s="81" t="n">
        <x:f>IF($A6="","",$B6+$E6/1440)</x:f>
        <x:v>46270.493055555555</x:v>
      </x:c>
      <x:c r="I6" s="81" t="n">
        <x:f>IF($A6="","",$H6+'設定・説明'!$B$7/1440)</x:f>
        <x:v>46270.53472222222</x:v>
      </x:c>
      <x:c r="J6" s="85" t="str">
        <x:f>IF($A6="","",IF($F6="未割当","Hard条件を満たす候補なし",IF(INDEX('キャディ条件'!$H$5:$H$14,MATCH($F6,'キャディ条件'!$A$5:$A$14,0))=$C6,"人数希望一致",IF(AND(INDEX('キャディ条件'!$F$5:$F$14,MATCH($F6,'キャディ条件'!$A$5:$A$14,0))="はい",COUNTIF($F$5:$F$19,$F6)=2),"2ラウンド希望を考慮","公平性・残容量"))))</x:f>
        <x:v>人数希望一致</x:v>
      </x:c>
      <x:c r="K6" s="85" t="str">
        <x:f>IF($A6="","",IF($F6="未割当","要手動調整",""))</x:f>
      </x:c>
      <x:c r="L6" s="83" t="n">
        <x:f>IF(OR(L$3="",$A6=""),"",IF(AND(COUNTIF('キャディ条件'!$A$5:$A$14,L$3)=1,OR('キャディ条件'!$C$5="全日",AND('キャディ条件'!$C$5="土日",WEEKDAY($B6,2)&gt;=6),AND('キャディ条件'!$C$5="平日",WEEKDAY($B6,2)&lt;=5)),$C6&lt;='キャディ条件'!$G$5,OR('キャディ条件'!$J$5="全コース",'キャディ条件'!$J$5=$D6),COUNTIF($F$4:F5,L$3)&lt;'キャディ条件'!$D$5,OR(COUNTIF($F$4:F5,L$3)=0,'キャディ条件'!$E$5="はい"),COUNTIFS($F$4:F5,L$3,$I$4:I5,"&gt;"&amp;$B6)=0),100+IF('キャディ条件'!$H$5=$C6,'設定・説明'!$B$9,0)+IF(AND('キャディ条件'!$E$5="はい",'キャディ条件'!$F$5="はい",OR(COUNTIF($F$4:F5,L$3)=1,AND(COUNTIF($F$4:F5,L$3)=0,IF('キャディ条件'!$J$5="全コース",COUNTIFS('ラウンド入力'!$A$7:$A$19,"&lt;&gt;",'ラウンド入力'!$B$7:$B$19,"&gt;="&amp;($B6+$E6/1440+'設定・説明'!$B$7/1440),'ラウンド入力'!$C$7:$C$19,"&lt;="&amp;'キャディ条件'!$G$5),COUNTIFS('ラウンド入力'!$A$7:$A$19,"&lt;&gt;",'ラウンド入力'!$B$7:$B$19,"&gt;="&amp;($B6+$E6/1440+'設定・説明'!$B$7/1440),'ラウンド入力'!$C$7:$C$19,"&lt;="&amp;'キャディ条件'!$G$5,'ラウンド入力'!$D$7:$D$19,'キャディ条件'!$J$5))&gt;0))),'設定・説明'!$B$10,0)+IF(AND('キャディ条件'!$I$5="ベテラン",$C6=4),'設定・説明'!$B$13,0)-('キャディ条件'!$K$5+COUNTIF($F$4:F5,L$3))*'設定・説明'!$B$11-('キャディ条件'!$L$5+COUNTIFS($F$4:F5,L$3,$C$4:C5,4))*'設定・説明'!$B$12,-9999))</x:f>
        <x:v>122</x:v>
      </x:c>
      <x:c r="M6" s="83" t="n">
        <x:f>IF(OR(M$3="",$A6=""),"",IF(AND(COUNTIF('キャディ条件'!$A$5:$A$14,M$3)=1,OR('キャディ条件'!$C$6="全日",AND('キャディ条件'!$C$6="土日",WEEKDAY($B6,2)&gt;=6),AND('キャディ条件'!$C$6="平日",WEEKDAY($B6,2)&lt;=5)),$C6&lt;='キャディ条件'!$G$6,OR('キャディ条件'!$J$6="全コース",'キャディ条件'!$J$6=$D6),COUNTIF($F$4:F5,M$3)&lt;'キャディ条件'!$D$6,OR(COUNTIF($F$4:F5,M$3)=0,'キャディ条件'!$E$6="はい"),COUNTIFS($F$4:F5,M$3,$I$4:I5,"&gt;"&amp;$B6)=0),100+IF('キャディ条件'!$H$6=$C6,'設定・説明'!$B$9,0)+IF(AND('キャディ条件'!$E$6="はい",'キャディ条件'!$F$6="はい",OR(COUNTIF($F$4:F5,M$3)=1,AND(COUNTIF($F$4:F5,M$3)=0,IF('キャディ条件'!$J$6="全コース",COUNTIFS('ラウンド入力'!$A$7:$A$19,"&lt;&gt;",'ラウンド入力'!$B$7:$B$19,"&gt;="&amp;($B6+$E6/1440+'設定・説明'!$B$7/1440),'ラウンド入力'!$C$7:$C$19,"&lt;="&amp;'キャディ条件'!$G$6),COUNTIFS('ラウンド入力'!$A$7:$A$19,"&lt;&gt;",'ラウンド入力'!$B$7:$B$19,"&gt;="&amp;($B6+$E6/1440+'設定・説明'!$B$7/1440),'ラウンド入力'!$C$7:$C$19,"&lt;="&amp;'キャディ条件'!$G$6,'ラウンド入力'!$D$7:$D$19,'キャディ条件'!$J$6))&gt;0))),'設定・説明'!$B$10,0)+IF(AND('キャディ条件'!$I$6="ベテラン",$C6=4),'設定・説明'!$B$13,0)-('キャディ条件'!$K$6+COUNTIF($F$4:F5,M$3))*'設定・説明'!$B$11-('キャディ条件'!$L$6+COUNTIFS($F$4:F5,M$3,$C$4:C5,4))*'設定・説明'!$B$12,-9999))</x:f>
        <x:v>75</x:v>
      </x:c>
      <x:c r="N6" s="83" t="n">
        <x:f>IF(OR(N$3="",$A6=""),"",IF(AND(COUNTIF('キャディ条件'!$A$5:$A$14,N$3)=1,OR('キャディ条件'!$C$7="全日",AND('キャディ条件'!$C$7="土日",WEEKDAY($B6,2)&gt;=6),AND('キャディ条件'!$C$7="平日",WEEKDAY($B6,2)&lt;=5)),$C6&lt;='キャディ条件'!$G$7,OR('キャディ条件'!$J$7="全コース",'キャディ条件'!$J$7=$D6),COUNTIF($F$4:F5,N$3)&lt;'キャディ条件'!$D$7,OR(COUNTIF($F$4:F5,N$3)=0,'キャディ条件'!$E$7="はい"),COUNTIFS($F$4:F5,N$3,$I$4:I5,"&gt;"&amp;$B6)=0),100+IF('キャディ条件'!$H$7=$C6,'設定・説明'!$B$9,0)+IF(AND('キャディ条件'!$E$7="はい",'キャディ条件'!$F$7="はい",OR(COUNTIF($F$4:F5,N$3)=1,AND(COUNTIF($F$4:F5,N$3)=0,IF('キャディ条件'!$J$7="全コース",COUNTIFS('ラウンド入力'!$A$7:$A$19,"&lt;&gt;",'ラウンド入力'!$B$7:$B$19,"&gt;="&amp;($B6+$E6/1440+'設定・説明'!$B$7/1440),'ラウンド入力'!$C$7:$C$19,"&lt;="&amp;'キャディ条件'!$G$7),COUNTIFS('ラウンド入力'!$A$7:$A$19,"&lt;&gt;",'ラウンド入力'!$B$7:$B$19,"&gt;="&amp;($B6+$E6/1440+'設定・説明'!$B$7/1440),'ラウンド入力'!$C$7:$C$19,"&lt;="&amp;'キャディ条件'!$G$7,'ラウンド入力'!$D$7:$D$19,'キャディ条件'!$J$7))&gt;0))),'設定・説明'!$B$10,0)+IF(AND('キャディ条件'!$I$7="ベテラン",$C6=4),'設定・説明'!$B$13,0)-('キャディ条件'!$K$7+COUNTIF($F$4:F5,N$3))*'設定・説明'!$B$11-('キャディ条件'!$L$7+COUNTIFS($F$4:F5,N$3,$C$4:C5,4))*'設定・説明'!$B$12,-9999))</x:f>
        <x:v>-9999</x:v>
      </x:c>
      <x:c r="O6" s="83" t="n">
        <x:f>IF(OR(O$3="",$A6=""),"",IF(AND(COUNTIF('キャディ条件'!$A$5:$A$14,O$3)=1,OR('キャディ条件'!$C$8="全日",AND('キャディ条件'!$C$8="土日",WEEKDAY($B6,2)&gt;=6),AND('キャディ条件'!$C$8="平日",WEEKDAY($B6,2)&lt;=5)),$C6&lt;='キャディ条件'!$G$8,OR('キャディ条件'!$J$8="全コース",'キャディ条件'!$J$8=$D6),COUNTIF($F$4:F5,O$3)&lt;'キャディ条件'!$D$8,OR(COUNTIF($F$4:F5,O$3)=0,'キャディ条件'!$E$8="はい"),COUNTIFS($F$4:F5,O$3,$I$4:I5,"&gt;"&amp;$B6)=0),100+IF('キャディ条件'!$H$8=$C6,'設定・説明'!$B$9,0)+IF(AND('キャディ条件'!$E$8="はい",'キャディ条件'!$F$8="はい",OR(COUNTIF($F$4:F5,O$3)=1,AND(COUNTIF($F$4:F5,O$3)=0,IF('キャディ条件'!$J$8="全コース",COUNTIFS('ラウンド入力'!$A$7:$A$19,"&lt;&gt;",'ラウンド入力'!$B$7:$B$19,"&gt;="&amp;($B6+$E6/1440+'設定・説明'!$B$7/1440),'ラウンド入力'!$C$7:$C$19,"&lt;="&amp;'キャディ条件'!$G$8),COUNTIFS('ラウンド入力'!$A$7:$A$19,"&lt;&gt;",'ラウンド入力'!$B$7:$B$19,"&gt;="&amp;($B6+$E6/1440+'設定・説明'!$B$7/1440),'ラウンド入力'!$C$7:$C$19,"&lt;="&amp;'キャディ条件'!$G$8,'ラウンド入力'!$D$7:$D$19,'キャディ条件'!$J$8))&gt;0))),'設定・説明'!$B$10,0)+IF(AND('キャディ条件'!$I$8="ベテラン",$C6=4),'設定・説明'!$B$13,0)-('キャディ条件'!$K$8+COUNTIF($F$4:F5,O$3))*'設定・説明'!$B$11-('キャディ条件'!$L$8+COUNTIFS($F$4:F5,O$3,$C$4:C5,4))*'設定・説明'!$B$12,-9999))</x:f>
        <x:v>-9999</x:v>
      </x:c>
      <x:c r="P6" s="83" t="n">
        <x:f>IF(OR(P$3="",$A6=""),"",IF(AND(COUNTIF('キャディ条件'!$A$5:$A$14,P$3)=1,OR('キャディ条件'!$C$9="全日",AND('キャディ条件'!$C$9="土日",WEEKDAY($B6,2)&gt;=6),AND('キャディ条件'!$C$9="平日",WEEKDAY($B6,2)&lt;=5)),$C6&lt;='キャディ条件'!$G$9,OR('キャディ条件'!$J$9="全コース",'キャディ条件'!$J$9=$D6),COUNTIF($F$4:F5,P$3)&lt;'キャディ条件'!$D$9,OR(COUNTIF($F$4:F5,P$3)=0,'キャディ条件'!$E$9="はい"),COUNTIFS($F$4:F5,P$3,$I$4:I5,"&gt;"&amp;$B6)=0),100+IF('キャディ条件'!$H$9=$C6,'設定・説明'!$B$9,0)+IF(AND('キャディ条件'!$E$9="はい",'キャディ条件'!$F$9="はい",OR(COUNTIF($F$4:F5,P$3)=1,AND(COUNTIF($F$4:F5,P$3)=0,IF('キャディ条件'!$J$9="全コース",COUNTIFS('ラウンド入力'!$A$7:$A$19,"&lt;&gt;",'ラウンド入力'!$B$7:$B$19,"&gt;="&amp;($B6+$E6/1440+'設定・説明'!$B$7/1440),'ラウンド入力'!$C$7:$C$19,"&lt;="&amp;'キャディ条件'!$G$9),COUNTIFS('ラウンド入力'!$A$7:$A$19,"&lt;&gt;",'ラウンド入力'!$B$7:$B$19,"&gt;="&amp;($B6+$E6/1440+'設定・説明'!$B$7/1440),'ラウンド入力'!$C$7:$C$19,"&lt;="&amp;'キャディ条件'!$G$9,'ラウンド入力'!$D$7:$D$19,'キャディ条件'!$J$9))&gt;0))),'設定・説明'!$B$10,0)+IF(AND('キャディ条件'!$I$9="ベテラン",$C6=4),'設定・説明'!$B$13,0)-('キャディ条件'!$K$9+COUNTIF($F$4:F5,P$3))*'設定・説明'!$B$11-('キャディ条件'!$L$9+COUNTIFS($F$4:F5,P$3,$C$4:C5,4))*'設定・説明'!$B$12,-9999))</x:f>
        <x:v>96</x:v>
      </x:c>
      <x:c r="Q6" s="83" t="str">
        <x:f>IF(OR(Q$3="",$A6=""),"",IF(AND(COUNTIF('キャディ条件'!$A$5:$A$14,Q$3)=1,OR('キャディ条件'!$C$10="全日",AND('キャディ条件'!$C$10="土日",WEEKDAY($B6,2)&gt;=6),AND('キャディ条件'!$C$10="平日",WEEKDAY($B6,2)&lt;=5)),$C6&lt;='キャディ条件'!$G$10,OR('キャディ条件'!$J$10="全コース",'キャディ条件'!$J$10=$D6),COUNTIF($F$4:F5,Q$3)&lt;'キャディ条件'!$D$10,OR(COUNTIF($F$4:F5,Q$3)=0,'キャディ条件'!$E$10="はい"),COUNTIFS($F$4:F5,Q$3,$I$4:I5,"&gt;"&amp;$B6)=0),100+IF('キャディ条件'!$H$10=$C6,'設定・説明'!$B$9,0)+IF(AND('キャディ条件'!$E$10="はい",'キャディ条件'!$F$10="はい",OR(COUNTIF($F$4:F5,Q$3)=1,AND(COUNTIF($F$4:F5,Q$3)=0,IF('キャディ条件'!$J$10="全コース",COUNTIFS('ラウンド入力'!$A$7:$A$19,"&lt;&gt;",'ラウンド入力'!$B$7:$B$19,"&gt;="&amp;($B6+$E6/1440+'設定・説明'!$B$7/1440),'ラウンド入力'!$C$7:$C$19,"&lt;="&amp;'キャディ条件'!$G$10),COUNTIFS('ラウンド入力'!$A$7:$A$19,"&lt;&gt;",'ラウンド入力'!$B$7:$B$19,"&gt;="&amp;($B6+$E6/1440+'設定・説明'!$B$7/1440),'ラウンド入力'!$C$7:$C$19,"&lt;="&amp;'キャディ条件'!$G$10,'ラウンド入力'!$D$7:$D$19,'キャディ条件'!$J$10))&gt;0))),'設定・説明'!$B$10,0)+IF(AND('キャディ条件'!$I$10="ベテラン",$C6=4),'設定・説明'!$B$13,0)-('キャディ条件'!$K$10+COUNTIF($F$4:F5,Q$3))*'設定・説明'!$B$11-('キャディ条件'!$L$10+COUNTIFS($F$4:F5,Q$3,$C$4:C5,4))*'設定・説明'!$B$12,-9999))</x:f>
      </x:c>
      <x:c r="R6" s="83" t="str">
        <x:f>IF(OR(R$3="",$A6=""),"",IF(AND(COUNTIF('キャディ条件'!$A$5:$A$14,R$3)=1,OR('キャディ条件'!$C$11="全日",AND('キャディ条件'!$C$11="土日",WEEKDAY($B6,2)&gt;=6),AND('キャディ条件'!$C$11="平日",WEEKDAY($B6,2)&lt;=5)),$C6&lt;='キャディ条件'!$G$11,OR('キャディ条件'!$J$11="全コース",'キャディ条件'!$J$11=$D6),COUNTIF($F$4:F5,R$3)&lt;'キャディ条件'!$D$11,OR(COUNTIF($F$4:F5,R$3)=0,'キャディ条件'!$E$11="はい"),COUNTIFS($F$4:F5,R$3,$I$4:I5,"&gt;"&amp;$B6)=0),100+IF('キャディ条件'!$H$11=$C6,'設定・説明'!$B$9,0)+IF(AND('キャディ条件'!$E$11="はい",'キャディ条件'!$F$11="はい",OR(COUNTIF($F$4:F5,R$3)=1,AND(COUNTIF($F$4:F5,R$3)=0,IF('キャディ条件'!$J$11="全コース",COUNTIFS('ラウンド入力'!$A$7:$A$19,"&lt;&gt;",'ラウンド入力'!$B$7:$B$19,"&gt;="&amp;($B6+$E6/1440+'設定・説明'!$B$7/1440),'ラウンド入力'!$C$7:$C$19,"&lt;="&amp;'キャディ条件'!$G$11),COUNTIFS('ラウンド入力'!$A$7:$A$19,"&lt;&gt;",'ラウンド入力'!$B$7:$B$19,"&gt;="&amp;($B6+$E6/1440+'設定・説明'!$B$7/1440),'ラウンド入力'!$C$7:$C$19,"&lt;="&amp;'キャディ条件'!$G$11,'ラウンド入力'!$D$7:$D$19,'キャディ条件'!$J$11))&gt;0))),'設定・説明'!$B$10,0)+IF(AND('キャディ条件'!$I$11="ベテラン",$C6=4),'設定・説明'!$B$13,0)-('キャディ条件'!$K$11+COUNTIF($F$4:F5,R$3))*'設定・説明'!$B$11-('キャディ条件'!$L$11+COUNTIFS($F$4:F5,R$3,$C$4:C5,4))*'設定・説明'!$B$12,-9999))</x:f>
      </x:c>
      <x:c r="S6" s="83" t="str">
        <x:f>IF(OR(S$3="",$A6=""),"",IF(AND(COUNTIF('キャディ条件'!$A$5:$A$14,S$3)=1,OR('キャディ条件'!$C$12="全日",AND('キャディ条件'!$C$12="土日",WEEKDAY($B6,2)&gt;=6),AND('キャディ条件'!$C$12="平日",WEEKDAY($B6,2)&lt;=5)),$C6&lt;='キャディ条件'!$G$12,OR('キャディ条件'!$J$12="全コース",'キャディ条件'!$J$12=$D6),COUNTIF($F$4:F5,S$3)&lt;'キャディ条件'!$D$12,OR(COUNTIF($F$4:F5,S$3)=0,'キャディ条件'!$E$12="はい"),COUNTIFS($F$4:F5,S$3,$I$4:I5,"&gt;"&amp;$B6)=0),100+IF('キャディ条件'!$H$12=$C6,'設定・説明'!$B$9,0)+IF(AND('キャディ条件'!$E$12="はい",'キャディ条件'!$F$12="はい",OR(COUNTIF($F$4:F5,S$3)=1,AND(COUNTIF($F$4:F5,S$3)=0,IF('キャディ条件'!$J$12="全コース",COUNTIFS('ラウンド入力'!$A$7:$A$19,"&lt;&gt;",'ラウンド入力'!$B$7:$B$19,"&gt;="&amp;($B6+$E6/1440+'設定・説明'!$B$7/1440),'ラウンド入力'!$C$7:$C$19,"&lt;="&amp;'キャディ条件'!$G$12),COUNTIFS('ラウンド入力'!$A$7:$A$19,"&lt;&gt;",'ラウンド入力'!$B$7:$B$19,"&gt;="&amp;($B6+$E6/1440+'設定・説明'!$B$7/1440),'ラウンド入力'!$C$7:$C$19,"&lt;="&amp;'キャディ条件'!$G$12,'ラウンド入力'!$D$7:$D$19,'キャディ条件'!$J$12))&gt;0))),'設定・説明'!$B$10,0)+IF(AND('キャディ条件'!$I$12="ベテラン",$C6=4),'設定・説明'!$B$13,0)-('キャディ条件'!$K$12+COUNTIF($F$4:F5,S$3))*'設定・説明'!$B$11-('キャディ条件'!$L$12+COUNTIFS($F$4:F5,S$3,$C$4:C5,4))*'設定・説明'!$B$12,-9999))</x:f>
      </x:c>
      <x:c r="T6" s="83" t="str">
        <x:f>IF(OR(T$3="",$A6=""),"",IF(AND(COUNTIF('キャディ条件'!$A$5:$A$14,T$3)=1,OR('キャディ条件'!$C$13="全日",AND('キャディ条件'!$C$13="土日",WEEKDAY($B6,2)&gt;=6),AND('キャディ条件'!$C$13="平日",WEEKDAY($B6,2)&lt;=5)),$C6&lt;='キャディ条件'!$G$13,OR('キャディ条件'!$J$13="全コース",'キャディ条件'!$J$13=$D6),COUNTIF($F$4:F5,T$3)&lt;'キャディ条件'!$D$13,OR(COUNTIF($F$4:F5,T$3)=0,'キャディ条件'!$E$13="はい"),COUNTIFS($F$4:F5,T$3,$I$4:I5,"&gt;"&amp;$B6)=0),100+IF('キャディ条件'!$H$13=$C6,'設定・説明'!$B$9,0)+IF(AND('キャディ条件'!$E$13="はい",'キャディ条件'!$F$13="はい",OR(COUNTIF($F$4:F5,T$3)=1,AND(COUNTIF($F$4:F5,T$3)=0,IF('キャディ条件'!$J$13="全コース",COUNTIFS('ラウンド入力'!$A$7:$A$19,"&lt;&gt;",'ラウンド入力'!$B$7:$B$19,"&gt;="&amp;($B6+$E6/1440+'設定・説明'!$B$7/1440),'ラウンド入力'!$C$7:$C$19,"&lt;="&amp;'キャディ条件'!$G$13),COUNTIFS('ラウンド入力'!$A$7:$A$19,"&lt;&gt;",'ラウンド入力'!$B$7:$B$19,"&gt;="&amp;($B6+$E6/1440+'設定・説明'!$B$7/1440),'ラウンド入力'!$C$7:$C$19,"&lt;="&amp;'キャディ条件'!$G$13,'ラウンド入力'!$D$7:$D$19,'キャディ条件'!$J$13))&gt;0))),'設定・説明'!$B$10,0)+IF(AND('キャディ条件'!$I$13="ベテラン",$C6=4),'設定・説明'!$B$13,0)-('キャディ条件'!$K$13+COUNTIF($F$4:F5,T$3))*'設定・説明'!$B$11-('キャディ条件'!$L$13+COUNTIFS($F$4:F5,T$3,$C$4:C5,4))*'設定・説明'!$B$12,-9999))</x:f>
      </x:c>
      <x:c r="U6" s="83" t="str">
        <x:f>IF(OR(U$3="",$A6=""),"",IF(AND(COUNTIF('キャディ条件'!$A$5:$A$14,U$3)=1,OR('キャディ条件'!$C$14="全日",AND('キャディ条件'!$C$14="土日",WEEKDAY($B6,2)&gt;=6),AND('キャディ条件'!$C$14="平日",WEEKDAY($B6,2)&lt;=5)),$C6&lt;='キャディ条件'!$G$14,OR('キャディ条件'!$J$14="全コース",'キャディ条件'!$J$14=$D6),COUNTIF($F$4:F5,U$3)&lt;'キャディ条件'!$D$14,OR(COUNTIF($F$4:F5,U$3)=0,'キャディ条件'!$E$14="はい"),COUNTIFS($F$4:F5,U$3,$I$4:I5,"&gt;"&amp;$B6)=0),100+IF('キャディ条件'!$H$14=$C6,'設定・説明'!$B$9,0)+IF(AND('キャディ条件'!$E$14="はい",'キャディ条件'!$F$14="はい",OR(COUNTIF($F$4:F5,U$3)=1,AND(COUNTIF($F$4:F5,U$3)=0,IF('キャディ条件'!$J$14="全コース",COUNTIFS('ラウンド入力'!$A$7:$A$19,"&lt;&gt;",'ラウンド入力'!$B$7:$B$19,"&gt;="&amp;($B6+$E6/1440+'設定・説明'!$B$7/1440),'ラウンド入力'!$C$7:$C$19,"&lt;="&amp;'キャディ条件'!$G$14),COUNTIFS('ラウンド入力'!$A$7:$A$19,"&lt;&gt;",'ラウンド入力'!$B$7:$B$19,"&gt;="&amp;($B6+$E6/1440+'設定・説明'!$B$7/1440),'ラウンド入力'!$C$7:$C$19,"&lt;="&amp;'キャディ条件'!$G$14,'ラウンド入力'!$D$7:$D$19,'キャディ条件'!$J$14))&gt;0))),'設定・説明'!$B$10,0)+IF(AND('キャディ条件'!$I$14="ベテラン",$C6=4),'設定・説明'!$B$13,0)-('キャディ条件'!$K$14+COUNTIF($F$4:F5,U$3))*'設定・説明'!$B$11-('キャディ条件'!$L$14+COUNTIFS($F$4:F5,U$3,$C$4:C5,4))*'設定・説明'!$B$12,-9999))</x:f>
      </x:c>
      <x:c r="V6" s="74" t="n">
        <x:f>IF($A6="","",IF($J6="人数希望一致",1,0))</x:f>
        <x:v>1</x:v>
      </x:c>
    </x:row>
    <x:row r="7">
      <x:c r="A7" s="73" t="str">
        <x:f>IF('ラウンド入力'!A7="","",'ラウンド入力'!A7)</x:f>
        <x:v>R3</x:v>
      </x:c>
      <x:c r="B7" s="79" t="n">
        <x:f>IF('ラウンド入力'!A7="","",'ラウンド入力'!B7)</x:f>
        <x:v>46270.333333333336</x:v>
      </x:c>
      <x:c r="C7" s="74" t="n">
        <x:f>IF('ラウンド入力'!A7="","",'ラウンド入力'!C7)</x:f>
        <x:v>4</x:v>
      </x:c>
      <x:c r="D7" s="74" t="str">
        <x:f>IF('ラウンド入力'!A7="","",'ラウンド入力'!D7)</x:f>
        <x:v>OUT</x:v>
      </x:c>
      <x:c r="E7" s="74" t="n">
        <x:f>IF('ラウンド入力'!A7="","",IF('ラウンド入力'!E7="",'設定・説明'!$B$6,'ラウンド入力'!E7))</x:f>
        <x:v>270</x:v>
      </x:c>
      <x:c r="F7" s="74" t="str">
        <x:f>IF($A7="","",IF(COUNTIF(L7:U7,"&gt;-9999")=0,"未割当",INDEX($L$3:$U$3,1,MATCH(MAX(L7:U7),L7:U7,0))))</x:f>
        <x:v>cad_suzuki</x:v>
      </x:c>
      <x:c r="G7" s="74" t="str">
        <x:f>IF(OR($F7="",$F7="未割当"),"",INDEX('キャディ条件'!$B$5:$B$14,MATCH($F7,'キャディ条件'!$A$5:$A$14,0)))</x:f>
        <x:v>鈴木</x:v>
      </x:c>
      <x:c r="H7" s="81" t="n">
        <x:f>IF($A7="","",$B7+$E7/1440)</x:f>
        <x:v>46270.520833333336</x:v>
      </x:c>
      <x:c r="I7" s="81" t="n">
        <x:f>IF($A7="","",$H7+'設定・説明'!$B$7/1440)</x:f>
        <x:v>46270.5625</x:v>
      </x:c>
      <x:c r="J7" s="85" t="str">
        <x:f>IF($A7="","",IF($F7="未割当","Hard条件を満たす候補なし",IF(INDEX('キャディ条件'!$H$5:$H$14,MATCH($F7,'キャディ条件'!$A$5:$A$14,0))=$C7,"人数希望一致",IF(AND(INDEX('キャディ条件'!$F$5:$F$14,MATCH($F7,'キャディ条件'!$A$5:$A$14,0))="はい",COUNTIF($F$5:$F$19,$F7)=2),"2ラウンド希望を考慮","公平性・残容量"))))</x:f>
        <x:v>人数希望一致</x:v>
      </x:c>
      <x:c r="K7" s="85" t="str">
        <x:f>IF($A7="","",IF($F7="未割当","要手動調整",""))</x:f>
      </x:c>
      <x:c r="L7" s="83" t="n">
        <x:f>IF(OR(L$3="",$A7=""),"",IF(AND(COUNTIF('キャディ条件'!$A$5:$A$14,L$3)=1,OR('キャディ条件'!$C$5="全日",AND('キャディ条件'!$C$5="土日",WEEKDAY($B7,2)&gt;=6),AND('キャディ条件'!$C$5="平日",WEEKDAY($B7,2)&lt;=5)),$C7&lt;='キャディ条件'!$G$5,OR('キャディ条件'!$J$5="全コース",'キャディ条件'!$J$5=$D7),COUNTIF($F$4:F6,L$3)&lt;'キャディ条件'!$D$5,OR(COUNTIF($F$4:F6,L$3)=0,'キャディ条件'!$E$5="はい"),COUNTIFS($F$4:F6,L$3,$I$4:I6,"&gt;"&amp;$B7)=0),100+IF('キャディ条件'!$H$5=$C7,'設定・説明'!$B$9,0)+IF(AND('キャディ条件'!$E$5="はい",'キャディ条件'!$F$5="はい",OR(COUNTIF($F$4:F6,L$3)=1,AND(COUNTIF($F$4:F6,L$3)=0,IF('キャディ条件'!$J$5="全コース",COUNTIFS('ラウンド入力'!$A$8:$A$19,"&lt;&gt;",'ラウンド入力'!$B$8:$B$19,"&gt;="&amp;($B7+$E7/1440+'設定・説明'!$B$7/1440),'ラウンド入力'!$C$8:$C$19,"&lt;="&amp;'キャディ条件'!$G$5),COUNTIFS('ラウンド入力'!$A$8:$A$19,"&lt;&gt;",'ラウンド入力'!$B$8:$B$19,"&gt;="&amp;($B7+$E7/1440+'設定・説明'!$B$7/1440),'ラウンド入力'!$C$8:$C$19,"&lt;="&amp;'キャディ条件'!$G$5,'ラウンド入力'!$D$8:$D$19,'キャディ条件'!$J$5))&gt;0))),'設定・説明'!$B$10,0)+IF(AND('キャディ条件'!$I$5="ベテラン",$C7=4),'設定・説明'!$B$13,0)-('キャディ条件'!$K$5+COUNTIF($F$4:F6,L$3))*'設定・説明'!$B$11-('キャディ条件'!$L$5+COUNTIFS($F$4:F6,L$3,$C$4:C6,4))*'設定・説明'!$B$12,-9999))</x:f>
        <x:v>-9999</x:v>
      </x:c>
      <x:c r="M7" s="83" t="n">
        <x:f>IF(OR(M$3="",$A7=""),"",IF(AND(COUNTIF('キャディ条件'!$A$5:$A$14,M$3)=1,OR('キャディ条件'!$C$6="全日",AND('キャディ条件'!$C$6="土日",WEEKDAY($B7,2)&gt;=6),AND('キャディ条件'!$C$6="平日",WEEKDAY($B7,2)&lt;=5)),$C7&lt;='キャディ条件'!$G$6,OR('キャディ条件'!$J$6="全コース",'キャディ条件'!$J$6=$D7),COUNTIF($F$4:F6,M$3)&lt;'キャディ条件'!$D$6,OR(COUNTIF($F$4:F6,M$3)=0,'キャディ条件'!$E$6="はい"),COUNTIFS($F$4:F6,M$3,$I$4:I6,"&gt;"&amp;$B7)=0),100+IF('キャディ条件'!$H$6=$C7,'設定・説明'!$B$9,0)+IF(AND('キャディ条件'!$E$6="はい",'キャディ条件'!$F$6="はい",OR(COUNTIF($F$4:F6,M$3)=1,AND(COUNTIF($F$4:F6,M$3)=0,IF('キャディ条件'!$J$6="全コース",COUNTIFS('ラウンド入力'!$A$8:$A$19,"&lt;&gt;",'ラウンド入力'!$B$8:$B$19,"&gt;="&amp;($B7+$E7/1440+'設定・説明'!$B$7/1440),'ラウンド入力'!$C$8:$C$19,"&lt;="&amp;'キャディ条件'!$G$6),COUNTIFS('ラウンド入力'!$A$8:$A$19,"&lt;&gt;",'ラウンド入力'!$B$8:$B$19,"&gt;="&amp;($B7+$E7/1440+'設定・説明'!$B$7/1440),'ラウンド入力'!$C$8:$C$19,"&lt;="&amp;'キャディ条件'!$G$6,'ラウンド入力'!$D$8:$D$19,'キャディ条件'!$J$6))&gt;0))),'設定・説明'!$B$10,0)+IF(AND('キャディ条件'!$I$6="ベテラン",$C7=4),'設定・説明'!$B$13,0)-('キャディ条件'!$K$6+COUNTIF($F$4:F6,M$3))*'設定・説明'!$B$11-('キャディ条件'!$L$6+COUNTIFS($F$4:F6,M$3,$C$4:C6,4))*'設定・説明'!$B$12,-9999))</x:f>
        <x:v>115</x:v>
      </x:c>
      <x:c r="N7" s="83" t="n">
        <x:f>IF(OR(N$3="",$A7=""),"",IF(AND(COUNTIF('キャディ条件'!$A$5:$A$14,N$3)=1,OR('キャディ条件'!$C$7="全日",AND('キャディ条件'!$C$7="土日",WEEKDAY($B7,2)&gt;=6),AND('キャディ条件'!$C$7="平日",WEEKDAY($B7,2)&lt;=5)),$C7&lt;='キャディ条件'!$G$7,OR('キャディ条件'!$J$7="全コース",'キャディ条件'!$J$7=$D7),COUNTIF($F$4:F6,N$3)&lt;'キャディ条件'!$D$7,OR(COUNTIF($F$4:F6,N$3)=0,'キャディ条件'!$E$7="はい"),COUNTIFS($F$4:F6,N$3,$I$4:I6,"&gt;"&amp;$B7)=0),100+IF('キャディ条件'!$H$7=$C7,'設定・説明'!$B$9,0)+IF(AND('キャディ条件'!$E$7="はい",'キャディ条件'!$F$7="はい",OR(COUNTIF($F$4:F6,N$3)=1,AND(COUNTIF($F$4:F6,N$3)=0,IF('キャディ条件'!$J$7="全コース",COUNTIFS('ラウンド入力'!$A$8:$A$19,"&lt;&gt;",'ラウンド入力'!$B$8:$B$19,"&gt;="&amp;($B7+$E7/1440+'設定・説明'!$B$7/1440),'ラウンド入力'!$C$8:$C$19,"&lt;="&amp;'キャディ条件'!$G$7),COUNTIFS('ラウンド入力'!$A$8:$A$19,"&lt;&gt;",'ラウンド入力'!$B$8:$B$19,"&gt;="&amp;($B7+$E7/1440+'設定・説明'!$B$7/1440),'ラウンド入力'!$C$8:$C$19,"&lt;="&amp;'キャディ条件'!$G$7,'ラウンド入力'!$D$8:$D$19,'キャディ条件'!$J$7))&gt;0))),'設定・説明'!$B$10,0)+IF(AND('キャディ条件'!$I$7="ベテラン",$C7=4),'設定・説明'!$B$13,0)-('キャディ条件'!$K$7+COUNTIF($F$4:F6,N$3))*'設定・説明'!$B$11-('キャディ条件'!$L$7+COUNTIFS($F$4:F6,N$3,$C$4:C6,4))*'設定・説明'!$B$12,-9999))</x:f>
        <x:v>-9999</x:v>
      </x:c>
      <x:c r="O7" s="83" t="n">
        <x:f>IF(OR(O$3="",$A7=""),"",IF(AND(COUNTIF('キャディ条件'!$A$5:$A$14,O$3)=1,OR('キャディ条件'!$C$8="全日",AND('キャディ条件'!$C$8="土日",WEEKDAY($B7,2)&gt;=6),AND('キャディ条件'!$C$8="平日",WEEKDAY($B7,2)&lt;=5)),$C7&lt;='キャディ条件'!$G$8,OR('キャディ条件'!$J$8="全コース",'キャディ条件'!$J$8=$D7),COUNTIF($F$4:F6,O$3)&lt;'キャディ条件'!$D$8,OR(COUNTIF($F$4:F6,O$3)=0,'キャディ条件'!$E$8="はい"),COUNTIFS($F$4:F6,O$3,$I$4:I6,"&gt;"&amp;$B7)=0),100+IF('キャディ条件'!$H$8=$C7,'設定・説明'!$B$9,0)+IF(AND('キャディ条件'!$E$8="はい",'キャディ条件'!$F$8="はい",OR(COUNTIF($F$4:F6,O$3)=1,AND(COUNTIF($F$4:F6,O$3)=0,IF('キャディ条件'!$J$8="全コース",COUNTIFS('ラウンド入力'!$A$8:$A$19,"&lt;&gt;",'ラウンド入力'!$B$8:$B$19,"&gt;="&amp;($B7+$E7/1440+'設定・説明'!$B$7/1440),'ラウンド入力'!$C$8:$C$19,"&lt;="&amp;'キャディ条件'!$G$8),COUNTIFS('ラウンド入力'!$A$8:$A$19,"&lt;&gt;",'ラウンド入力'!$B$8:$B$19,"&gt;="&amp;($B7+$E7/1440+'設定・説明'!$B$7/1440),'ラウンド入力'!$C$8:$C$19,"&lt;="&amp;'キャディ条件'!$G$8,'ラウンド入力'!$D$8:$D$19,'キャディ条件'!$J$8))&gt;0))),'設定・説明'!$B$10,0)+IF(AND('キャディ条件'!$I$8="ベテラン",$C7=4),'設定・説明'!$B$13,0)-('キャディ条件'!$K$8+COUNTIF($F$4:F6,O$3))*'設定・説明'!$B$11-('キャディ条件'!$L$8+COUNTIFS($F$4:F6,O$3,$C$4:C6,4))*'設定・説明'!$B$12,-9999))</x:f>
        <x:v>-9999</x:v>
      </x:c>
      <x:c r="P7" s="83" t="n">
        <x:f>IF(OR(P$3="",$A7=""),"",IF(AND(COUNTIF('キャディ条件'!$A$5:$A$14,P$3)=1,OR('キャディ条件'!$C$9="全日",AND('キャディ条件'!$C$9="土日",WEEKDAY($B7,2)&gt;=6),AND('キャディ条件'!$C$9="平日",WEEKDAY($B7,2)&lt;=5)),$C7&lt;='キャディ条件'!$G$9,OR('キャディ条件'!$J$9="全コース",'キャディ条件'!$J$9=$D7),COUNTIF($F$4:F6,P$3)&lt;'キャディ条件'!$D$9,OR(COUNTIF($F$4:F6,P$3)=0,'キャディ条件'!$E$9="はい"),COUNTIFS($F$4:F6,P$3,$I$4:I6,"&gt;"&amp;$B7)=0),100+IF('キャディ条件'!$H$9=$C7,'設定・説明'!$B$9,0)+IF(AND('キャディ条件'!$E$9="はい",'キャディ条件'!$F$9="はい",OR(COUNTIF($F$4:F6,P$3)=1,AND(COUNTIF($F$4:F6,P$3)=0,IF('キャディ条件'!$J$9="全コース",COUNTIFS('ラウンド入力'!$A$8:$A$19,"&lt;&gt;",'ラウンド入力'!$B$8:$B$19,"&gt;="&amp;($B7+$E7/1440+'設定・説明'!$B$7/1440),'ラウンド入力'!$C$8:$C$19,"&lt;="&amp;'キャディ条件'!$G$9),COUNTIFS('ラウンド入力'!$A$8:$A$19,"&lt;&gt;",'ラウンド入力'!$B$8:$B$19,"&gt;="&amp;($B7+$E7/1440+'設定・説明'!$B$7/1440),'ラウンド入力'!$C$8:$C$19,"&lt;="&amp;'キャディ条件'!$G$9,'ラウンド入力'!$D$8:$D$19,'キャディ条件'!$J$9))&gt;0))),'設定・説明'!$B$10,0)+IF(AND('キャディ条件'!$I$9="ベテラン",$C7=4),'設定・説明'!$B$13,0)-('キャディ条件'!$K$9+COUNTIF($F$4:F6,P$3))*'設定・説明'!$B$11-('キャディ条件'!$L$9+COUNTIFS($F$4:F6,P$3,$C$4:C6,4))*'設定・説明'!$B$12,-9999))</x:f>
        <x:v>96</x:v>
      </x:c>
      <x:c r="Q7" s="83" t="str">
        <x:f>IF(OR(Q$3="",$A7=""),"",IF(AND(COUNTIF('キャディ条件'!$A$5:$A$14,Q$3)=1,OR('キャディ条件'!$C$10="全日",AND('キャディ条件'!$C$10="土日",WEEKDAY($B7,2)&gt;=6),AND('キャディ条件'!$C$10="平日",WEEKDAY($B7,2)&lt;=5)),$C7&lt;='キャディ条件'!$G$10,OR('キャディ条件'!$J$10="全コース",'キャディ条件'!$J$10=$D7),COUNTIF($F$4:F6,Q$3)&lt;'キャディ条件'!$D$10,OR(COUNTIF($F$4:F6,Q$3)=0,'キャディ条件'!$E$10="はい"),COUNTIFS($F$4:F6,Q$3,$I$4:I6,"&gt;"&amp;$B7)=0),100+IF('キャディ条件'!$H$10=$C7,'設定・説明'!$B$9,0)+IF(AND('キャディ条件'!$E$10="はい",'キャディ条件'!$F$10="はい",OR(COUNTIF($F$4:F6,Q$3)=1,AND(COUNTIF($F$4:F6,Q$3)=0,IF('キャディ条件'!$J$10="全コース",COUNTIFS('ラウンド入力'!$A$8:$A$19,"&lt;&gt;",'ラウンド入力'!$B$8:$B$19,"&gt;="&amp;($B7+$E7/1440+'設定・説明'!$B$7/1440),'ラウンド入力'!$C$8:$C$19,"&lt;="&amp;'キャディ条件'!$G$10),COUNTIFS('ラウンド入力'!$A$8:$A$19,"&lt;&gt;",'ラウンド入力'!$B$8:$B$19,"&gt;="&amp;($B7+$E7/1440+'設定・説明'!$B$7/1440),'ラウンド入力'!$C$8:$C$19,"&lt;="&amp;'キャディ条件'!$G$10,'ラウンド入力'!$D$8:$D$19,'キャディ条件'!$J$10))&gt;0))),'設定・説明'!$B$10,0)+IF(AND('キャディ条件'!$I$10="ベテラン",$C7=4),'設定・説明'!$B$13,0)-('キャディ条件'!$K$10+COUNTIF($F$4:F6,Q$3))*'設定・説明'!$B$11-('キャディ条件'!$L$10+COUNTIFS($F$4:F6,Q$3,$C$4:C6,4))*'設定・説明'!$B$12,-9999))</x:f>
      </x:c>
      <x:c r="R7" s="83" t="str">
        <x:f>IF(OR(R$3="",$A7=""),"",IF(AND(COUNTIF('キャディ条件'!$A$5:$A$14,R$3)=1,OR('キャディ条件'!$C$11="全日",AND('キャディ条件'!$C$11="土日",WEEKDAY($B7,2)&gt;=6),AND('キャディ条件'!$C$11="平日",WEEKDAY($B7,2)&lt;=5)),$C7&lt;='キャディ条件'!$G$11,OR('キャディ条件'!$J$11="全コース",'キャディ条件'!$J$11=$D7),COUNTIF($F$4:F6,R$3)&lt;'キャディ条件'!$D$11,OR(COUNTIF($F$4:F6,R$3)=0,'キャディ条件'!$E$11="はい"),COUNTIFS($F$4:F6,R$3,$I$4:I6,"&gt;"&amp;$B7)=0),100+IF('キャディ条件'!$H$11=$C7,'設定・説明'!$B$9,0)+IF(AND('キャディ条件'!$E$11="はい",'キャディ条件'!$F$11="はい",OR(COUNTIF($F$4:F6,R$3)=1,AND(COUNTIF($F$4:F6,R$3)=0,IF('キャディ条件'!$J$11="全コース",COUNTIFS('ラウンド入力'!$A$8:$A$19,"&lt;&gt;",'ラウンド入力'!$B$8:$B$19,"&gt;="&amp;($B7+$E7/1440+'設定・説明'!$B$7/1440),'ラウンド入力'!$C$8:$C$19,"&lt;="&amp;'キャディ条件'!$G$11),COUNTIFS('ラウンド入力'!$A$8:$A$19,"&lt;&gt;",'ラウンド入力'!$B$8:$B$19,"&gt;="&amp;($B7+$E7/1440+'設定・説明'!$B$7/1440),'ラウンド入力'!$C$8:$C$19,"&lt;="&amp;'キャディ条件'!$G$11,'ラウンド入力'!$D$8:$D$19,'キャディ条件'!$J$11))&gt;0))),'設定・説明'!$B$10,0)+IF(AND('キャディ条件'!$I$11="ベテラン",$C7=4),'設定・説明'!$B$13,0)-('キャディ条件'!$K$11+COUNTIF($F$4:F6,R$3))*'設定・説明'!$B$11-('キャディ条件'!$L$11+COUNTIFS($F$4:F6,R$3,$C$4:C6,4))*'設定・説明'!$B$12,-9999))</x:f>
      </x:c>
      <x:c r="S7" s="83" t="str">
        <x:f>IF(OR(S$3="",$A7=""),"",IF(AND(COUNTIF('キャディ条件'!$A$5:$A$14,S$3)=1,OR('キャディ条件'!$C$12="全日",AND('キャディ条件'!$C$12="土日",WEEKDAY($B7,2)&gt;=6),AND('キャディ条件'!$C$12="平日",WEEKDAY($B7,2)&lt;=5)),$C7&lt;='キャディ条件'!$G$12,OR('キャディ条件'!$J$12="全コース",'キャディ条件'!$J$12=$D7),COUNTIF($F$4:F6,S$3)&lt;'キャディ条件'!$D$12,OR(COUNTIF($F$4:F6,S$3)=0,'キャディ条件'!$E$12="はい"),COUNTIFS($F$4:F6,S$3,$I$4:I6,"&gt;"&amp;$B7)=0),100+IF('キャディ条件'!$H$12=$C7,'設定・説明'!$B$9,0)+IF(AND('キャディ条件'!$E$12="はい",'キャディ条件'!$F$12="はい",OR(COUNTIF($F$4:F6,S$3)=1,AND(COUNTIF($F$4:F6,S$3)=0,IF('キャディ条件'!$J$12="全コース",COUNTIFS('ラウンド入力'!$A$8:$A$19,"&lt;&gt;",'ラウンド入力'!$B$8:$B$19,"&gt;="&amp;($B7+$E7/1440+'設定・説明'!$B$7/1440),'ラウンド入力'!$C$8:$C$19,"&lt;="&amp;'キャディ条件'!$G$12),COUNTIFS('ラウンド入力'!$A$8:$A$19,"&lt;&gt;",'ラウンド入力'!$B$8:$B$19,"&gt;="&amp;($B7+$E7/1440+'設定・説明'!$B$7/1440),'ラウンド入力'!$C$8:$C$19,"&lt;="&amp;'キャディ条件'!$G$12,'ラウンド入力'!$D$8:$D$19,'キャディ条件'!$J$12))&gt;0))),'設定・説明'!$B$10,0)+IF(AND('キャディ条件'!$I$12="ベテラン",$C7=4),'設定・説明'!$B$13,0)-('キャディ条件'!$K$12+COUNTIF($F$4:F6,S$3))*'設定・説明'!$B$11-('キャディ条件'!$L$12+COUNTIFS($F$4:F6,S$3,$C$4:C6,4))*'設定・説明'!$B$12,-9999))</x:f>
      </x:c>
      <x:c r="T7" s="83" t="str">
        <x:f>IF(OR(T$3="",$A7=""),"",IF(AND(COUNTIF('キャディ条件'!$A$5:$A$14,T$3)=1,OR('キャディ条件'!$C$13="全日",AND('キャディ条件'!$C$13="土日",WEEKDAY($B7,2)&gt;=6),AND('キャディ条件'!$C$13="平日",WEEKDAY($B7,2)&lt;=5)),$C7&lt;='キャディ条件'!$G$13,OR('キャディ条件'!$J$13="全コース",'キャディ条件'!$J$13=$D7),COUNTIF($F$4:F6,T$3)&lt;'キャディ条件'!$D$13,OR(COUNTIF($F$4:F6,T$3)=0,'キャディ条件'!$E$13="はい"),COUNTIFS($F$4:F6,T$3,$I$4:I6,"&gt;"&amp;$B7)=0),100+IF('キャディ条件'!$H$13=$C7,'設定・説明'!$B$9,0)+IF(AND('キャディ条件'!$E$13="はい",'キャディ条件'!$F$13="はい",OR(COUNTIF($F$4:F6,T$3)=1,AND(COUNTIF($F$4:F6,T$3)=0,IF('キャディ条件'!$J$13="全コース",COUNTIFS('ラウンド入力'!$A$8:$A$19,"&lt;&gt;",'ラウンド入力'!$B$8:$B$19,"&gt;="&amp;($B7+$E7/1440+'設定・説明'!$B$7/1440),'ラウンド入力'!$C$8:$C$19,"&lt;="&amp;'キャディ条件'!$G$13),COUNTIFS('ラウンド入力'!$A$8:$A$19,"&lt;&gt;",'ラウンド入力'!$B$8:$B$19,"&gt;="&amp;($B7+$E7/1440+'設定・説明'!$B$7/1440),'ラウンド入力'!$C$8:$C$19,"&lt;="&amp;'キャディ条件'!$G$13,'ラウンド入力'!$D$8:$D$19,'キャディ条件'!$J$13))&gt;0))),'設定・説明'!$B$10,0)+IF(AND('キャディ条件'!$I$13="ベテラン",$C7=4),'設定・説明'!$B$13,0)-('キャディ条件'!$K$13+COUNTIF($F$4:F6,T$3))*'設定・説明'!$B$11-('キャディ条件'!$L$13+COUNTIFS($F$4:F6,T$3,$C$4:C6,4))*'設定・説明'!$B$12,-9999))</x:f>
      </x:c>
      <x:c r="U7" s="83" t="str">
        <x:f>IF(OR(U$3="",$A7=""),"",IF(AND(COUNTIF('キャディ条件'!$A$5:$A$14,U$3)=1,OR('キャディ条件'!$C$14="全日",AND('キャディ条件'!$C$14="土日",WEEKDAY($B7,2)&gt;=6),AND('キャディ条件'!$C$14="平日",WEEKDAY($B7,2)&lt;=5)),$C7&lt;='キャディ条件'!$G$14,OR('キャディ条件'!$J$14="全コース",'キャディ条件'!$J$14=$D7),COUNTIF($F$4:F6,U$3)&lt;'キャディ条件'!$D$14,OR(COUNTIF($F$4:F6,U$3)=0,'キャディ条件'!$E$14="はい"),COUNTIFS($F$4:F6,U$3,$I$4:I6,"&gt;"&amp;$B7)=0),100+IF('キャディ条件'!$H$14=$C7,'設定・説明'!$B$9,0)+IF(AND('キャディ条件'!$E$14="はい",'キャディ条件'!$F$14="はい",OR(COUNTIF($F$4:F6,U$3)=1,AND(COUNTIF($F$4:F6,U$3)=0,IF('キャディ条件'!$J$14="全コース",COUNTIFS('ラウンド入力'!$A$8:$A$19,"&lt;&gt;",'ラウンド入力'!$B$8:$B$19,"&gt;="&amp;($B7+$E7/1440+'設定・説明'!$B$7/1440),'ラウンド入力'!$C$8:$C$19,"&lt;="&amp;'キャディ条件'!$G$14),COUNTIFS('ラウンド入力'!$A$8:$A$19,"&lt;&gt;",'ラウンド入力'!$B$8:$B$19,"&gt;="&amp;($B7+$E7/1440+'設定・説明'!$B$7/1440),'ラウンド入力'!$C$8:$C$19,"&lt;="&amp;'キャディ条件'!$G$14,'ラウンド入力'!$D$8:$D$19,'キャディ条件'!$J$14))&gt;0))),'設定・説明'!$B$10,0)+IF(AND('キャディ条件'!$I$14="ベテラン",$C7=4),'設定・説明'!$B$13,0)-('キャディ条件'!$K$14+COUNTIF($F$4:F6,U$3))*'設定・説明'!$B$11-('キャディ条件'!$L$14+COUNTIFS($F$4:F6,U$3,$C$4:C6,4))*'設定・説明'!$B$12,-9999))</x:f>
      </x:c>
      <x:c r="V7" s="74" t="n">
        <x:f>IF($A7="","",IF($J7="人数希望一致",1,0))</x:f>
        <x:v>1</x:v>
      </x:c>
    </x:row>
    <x:row r="8">
      <x:c r="A8" s="73" t="str">
        <x:f>IF('ラウンド入力'!A8="","",'ラウンド入力'!A8)</x:f>
        <x:v>R4</x:v>
      </x:c>
      <x:c r="B8" s="79" t="n">
        <x:f>IF('ラウンド入力'!A8="","",'ラウンド入力'!B8)</x:f>
        <x:v>46270.5625</x:v>
      </x:c>
      <x:c r="C8" s="74" t="n">
        <x:f>IF('ラウンド入力'!A8="","",'ラウンド入力'!C8)</x:f>
        <x:v>2</x:v>
      </x:c>
      <x:c r="D8" s="74" t="str">
        <x:f>IF('ラウンド入力'!A8="","",'ラウンド入力'!D8)</x:f>
        <x:v>OUT</x:v>
      </x:c>
      <x:c r="E8" s="74" t="n">
        <x:f>IF('ラウンド入力'!A8="","",IF('ラウンド入力'!E8="",'設定・説明'!$B$6,'ラウンド入力'!E8))</x:f>
        <x:v>270</x:v>
      </x:c>
      <x:c r="F8" s="74" t="str">
        <x:f>IF($A8="","",IF(COUNTIF(L8:U8,"&gt;-9999")=0,"未割当",INDEX($L$3:$U$3,1,MATCH(MAX(L8:U8),L8:U8,0))))</x:f>
        <x:v>cad_tanaka</x:v>
      </x:c>
      <x:c r="G8" s="74" t="str">
        <x:f>IF(OR($F8="",$F8="未割当"),"",INDEX('キャディ条件'!$B$5:$B$14,MATCH($F8,'キャディ条件'!$A$5:$A$14,0)))</x:f>
        <x:v>田中</x:v>
      </x:c>
      <x:c r="H8" s="81" t="n">
        <x:f>IF($A8="","",$B8+$E8/1440)</x:f>
        <x:v>46270.75</x:v>
      </x:c>
      <x:c r="I8" s="81" t="n">
        <x:f>IF($A8="","",$H8+'設定・説明'!$B$7/1440)</x:f>
        <x:v>46270.791666666664</x:v>
      </x:c>
      <x:c r="J8" s="85" t="str">
        <x:f>IF($A8="","",IF($F8="未割当","Hard条件を満たす候補なし",IF(INDEX('キャディ条件'!$H$5:$H$14,MATCH($F8,'キャディ条件'!$A$5:$A$14,0))=$C8,"人数希望一致",IF(AND(INDEX('キャディ条件'!$F$5:$F$14,MATCH($F8,'キャディ条件'!$A$5:$A$14,0))="はい",COUNTIF($F$5:$F$19,$F8)=2),"2ラウンド希望を考慮","公平性・残容量"))))</x:f>
        <x:v>2ラウンド希望を考慮</x:v>
      </x:c>
      <x:c r="K8" s="85" t="str">
        <x:f>IF($A8="","",IF($F8="未割当","要手動調整",""))</x:f>
      </x:c>
      <x:c r="L8" s="83" t="n">
        <x:f>IF(OR(L$3="",$A8=""),"",IF(AND(COUNTIF('キャディ条件'!$A$5:$A$14,L$3)=1,OR('キャディ条件'!$C$5="全日",AND('キャディ条件'!$C$5="土日",WEEKDAY($B8,2)&gt;=6),AND('キャディ条件'!$C$5="平日",WEEKDAY($B8,2)&lt;=5)),$C8&lt;='キャディ条件'!$G$5,OR('キャディ条件'!$J$5="全コース",'キャディ条件'!$J$5=$D8),COUNTIF($F$4:F7,L$3)&lt;'キャディ条件'!$D$5,OR(COUNTIF($F$4:F7,L$3)=0,'キャディ条件'!$E$5="はい"),COUNTIFS($F$4:F7,L$3,$I$4:I7,"&gt;"&amp;$B8)=0),100+IF('キャディ条件'!$H$5=$C8,'設定・説明'!$B$9,0)+IF(AND('キャディ条件'!$E$5="はい",'キャディ条件'!$F$5="はい",OR(COUNTIF($F$4:F7,L$3)=1,AND(COUNTIF($F$4:F7,L$3)=0,IF('キャディ条件'!$J$5="全コース",COUNTIFS('ラウンド入力'!$A$9:$A$19,"&lt;&gt;",'ラウンド入力'!$B$9:$B$19,"&gt;="&amp;($B8+$E8/1440+'設定・説明'!$B$7/1440),'ラウンド入力'!$C$9:$C$19,"&lt;="&amp;'キャディ条件'!$G$5),COUNTIFS('ラウンド入力'!$A$9:$A$19,"&lt;&gt;",'ラウンド入力'!$B$9:$B$19,"&gt;="&amp;($B8+$E8/1440+'設定・説明'!$B$7/1440),'ラウンド入力'!$C$9:$C$19,"&lt;="&amp;'キャディ条件'!$G$5,'ラウンド入力'!$D$9:$D$19,'キャディ条件'!$J$5))&gt;0))),'設定・説明'!$B$10,0)+IF(AND('キャディ条件'!$I$5="ベテラン",$C8=4),'設定・説明'!$B$13,0)-('キャディ条件'!$K$5+COUNTIF($F$4:F7,L$3))*'設定・説明'!$B$11-('キャディ条件'!$L$5+COUNTIFS($F$4:F7,L$3,$C$4:C7,4))*'設定・説明'!$B$12,-9999))</x:f>
        <x:v>-9999</x:v>
      </x:c>
      <x:c r="M8" s="83" t="n">
        <x:f>IF(OR(M$3="",$A8=""),"",IF(AND(COUNTIF('キャディ条件'!$A$5:$A$14,M$3)=1,OR('キャディ条件'!$C$6="全日",AND('キャディ条件'!$C$6="土日",WEEKDAY($B8,2)&gt;=6),AND('キャディ条件'!$C$6="平日",WEEKDAY($B8,2)&lt;=5)),$C8&lt;='キャディ条件'!$G$6,OR('キャディ条件'!$J$6="全コース",'キャディ条件'!$J$6=$D8),COUNTIF($F$4:F7,M$3)&lt;'キャディ条件'!$D$6,OR(COUNTIF($F$4:F7,M$3)=0,'キャディ条件'!$E$6="はい"),COUNTIFS($F$4:F7,M$3,$I$4:I7,"&gt;"&amp;$B8)=0),100+IF('キャディ条件'!$H$6=$C8,'設定・説明'!$B$9,0)+IF(AND('キャディ条件'!$E$6="はい",'キャディ条件'!$F$6="はい",OR(COUNTIF($F$4:F7,M$3)=1,AND(COUNTIF($F$4:F7,M$3)=0,IF('キャディ条件'!$J$6="全コース",COUNTIFS('ラウンド入力'!$A$9:$A$19,"&lt;&gt;",'ラウンド入力'!$B$9:$B$19,"&gt;="&amp;($B8+$E8/1440+'設定・説明'!$B$7/1440),'ラウンド入力'!$C$9:$C$19,"&lt;="&amp;'キャディ条件'!$G$6),COUNTIFS('ラウンド入力'!$A$9:$A$19,"&lt;&gt;",'ラウンド入力'!$B$9:$B$19,"&gt;="&amp;($B8+$E8/1440+'設定・説明'!$B$7/1440),'ラウンド入力'!$C$9:$C$19,"&lt;="&amp;'キャディ条件'!$G$6,'ラウンド入力'!$D$9:$D$19,'キャディ条件'!$J$6))&gt;0))),'設定・説明'!$B$10,0)+IF(AND('キャディ条件'!$I$6="ベテラン",$C8=4),'設定・説明'!$B$13,0)-('キャディ条件'!$K$6+COUNTIF($F$4:F7,M$3))*'設定・説明'!$B$11-('キャディ条件'!$L$6+COUNTIFS($F$4:F7,M$3,$C$4:C7,4))*'設定・説明'!$B$12,-9999))</x:f>
        <x:v>-9999</x:v>
      </x:c>
      <x:c r="N8" s="83" t="n">
        <x:f>IF(OR(N$3="",$A8=""),"",IF(AND(COUNTIF('キャディ条件'!$A$5:$A$14,N$3)=1,OR('キャディ条件'!$C$7="全日",AND('キャディ条件'!$C$7="土日",WEEKDAY($B8,2)&gt;=6),AND('キャディ条件'!$C$7="平日",WEEKDAY($B8,2)&lt;=5)),$C8&lt;='キャディ条件'!$G$7,OR('キャディ条件'!$J$7="全コース",'キャディ条件'!$J$7=$D8),COUNTIF($F$4:F7,N$3)&lt;'キャディ条件'!$D$7,OR(COUNTIF($F$4:F7,N$3)=0,'キャディ条件'!$E$7="はい"),COUNTIFS($F$4:F7,N$3,$I$4:I7,"&gt;"&amp;$B8)=0),100+IF('キャディ条件'!$H$7=$C8,'設定・説明'!$B$9,0)+IF(AND('キャディ条件'!$E$7="はい",'キャディ条件'!$F$7="はい",OR(COUNTIF($F$4:F7,N$3)=1,AND(COUNTIF($F$4:F7,N$3)=0,IF('キャディ条件'!$J$7="全コース",COUNTIFS('ラウンド入力'!$A$9:$A$19,"&lt;&gt;",'ラウンド入力'!$B$9:$B$19,"&gt;="&amp;($B8+$E8/1440+'設定・説明'!$B$7/1440),'ラウンド入力'!$C$9:$C$19,"&lt;="&amp;'キャディ条件'!$G$7),COUNTIFS('ラウンド入力'!$A$9:$A$19,"&lt;&gt;",'ラウンド入力'!$B$9:$B$19,"&gt;="&amp;($B8+$E8/1440+'設定・説明'!$B$7/1440),'ラウンド入力'!$C$9:$C$19,"&lt;="&amp;'キャディ条件'!$G$7,'ラウンド入力'!$D$9:$D$19,'キャディ条件'!$J$7))&gt;0))),'設定・説明'!$B$10,0)+IF(AND('キャディ条件'!$I$7="ベテラン",$C8=4),'設定・説明'!$B$13,0)-('キャディ条件'!$K$7+COUNTIF($F$4:F7,N$3))*'設定・説明'!$B$11-('キャディ条件'!$L$7+COUNTIFS($F$4:F7,N$3,$C$4:C7,4))*'設定・説明'!$B$12,-9999))</x:f>
        <x:v>123</x:v>
      </x:c>
      <x:c r="O8" s="83" t="n">
        <x:f>IF(OR(O$3="",$A8=""),"",IF(AND(COUNTIF('キャディ条件'!$A$5:$A$14,O$3)=1,OR('キャディ条件'!$C$8="全日",AND('キャディ条件'!$C$8="土日",WEEKDAY($B8,2)&gt;=6),AND('キャディ条件'!$C$8="平日",WEEKDAY($B8,2)&lt;=5)),$C8&lt;='キャディ条件'!$G$8,OR('キャディ条件'!$J$8="全コース",'キャディ条件'!$J$8=$D8),COUNTIF($F$4:F7,O$3)&lt;'キャディ条件'!$D$8,OR(COUNTIF($F$4:F7,O$3)=0,'キャディ条件'!$E$8="はい"),COUNTIFS($F$4:F7,O$3,$I$4:I7,"&gt;"&amp;$B8)=0),100+IF('キャディ条件'!$H$8=$C8,'設定・説明'!$B$9,0)+IF(AND('キャディ条件'!$E$8="はい",'キャディ条件'!$F$8="はい",OR(COUNTIF($F$4:F7,O$3)=1,AND(COUNTIF($F$4:F7,O$3)=0,IF('キャディ条件'!$J$8="全コース",COUNTIFS('ラウンド入力'!$A$9:$A$19,"&lt;&gt;",'ラウンド入力'!$B$9:$B$19,"&gt;="&amp;($B8+$E8/1440+'設定・説明'!$B$7/1440),'ラウンド入力'!$C$9:$C$19,"&lt;="&amp;'キャディ条件'!$G$8),COUNTIFS('ラウンド入力'!$A$9:$A$19,"&lt;&gt;",'ラウンド入力'!$B$9:$B$19,"&gt;="&amp;($B8+$E8/1440+'設定・説明'!$B$7/1440),'ラウンド入力'!$C$9:$C$19,"&lt;="&amp;'キャディ条件'!$G$8,'ラウンド入力'!$D$9:$D$19,'キャディ条件'!$J$8))&gt;0))),'設定・説明'!$B$10,0)+IF(AND('キャディ条件'!$I$8="ベテラン",$C8=4),'設定・説明'!$B$13,0)-('キャディ条件'!$K$8+COUNTIF($F$4:F7,O$3))*'設定・説明'!$B$11-('キャディ条件'!$L$8+COUNTIFS($F$4:F7,O$3,$C$4:C7,4))*'設定・説明'!$B$12,-9999))</x:f>
        <x:v>-9999</x:v>
      </x:c>
      <x:c r="P8" s="83" t="n">
        <x:f>IF(OR(P$3="",$A8=""),"",IF(AND(COUNTIF('キャディ条件'!$A$5:$A$14,P$3)=1,OR('キャディ条件'!$C$9="全日",AND('キャディ条件'!$C$9="土日",WEEKDAY($B8,2)&gt;=6),AND('キャディ条件'!$C$9="平日",WEEKDAY($B8,2)&lt;=5)),$C8&lt;='キャディ条件'!$G$9,OR('キャディ条件'!$J$9="全コース",'キャディ条件'!$J$9=$D8),COUNTIF($F$4:F7,P$3)&lt;'キャディ条件'!$D$9,OR(COUNTIF($F$4:F7,P$3)=0,'キャディ条件'!$E$9="はい"),COUNTIFS($F$4:F7,P$3,$I$4:I7,"&gt;"&amp;$B8)=0),100+IF('キャディ条件'!$H$9=$C8,'設定・説明'!$B$9,0)+IF(AND('キャディ条件'!$E$9="はい",'キャディ条件'!$F$9="はい",OR(COUNTIF($F$4:F7,P$3)=1,AND(COUNTIF($F$4:F7,P$3)=0,IF('キャディ条件'!$J$9="全コース",COUNTIFS('ラウンド入力'!$A$9:$A$19,"&lt;&gt;",'ラウンド入力'!$B$9:$B$19,"&gt;="&amp;($B8+$E8/1440+'設定・説明'!$B$7/1440),'ラウンド入力'!$C$9:$C$19,"&lt;="&amp;'キャディ条件'!$G$9),COUNTIFS('ラウンド入力'!$A$9:$A$19,"&lt;&gt;",'ラウンド入力'!$B$9:$B$19,"&gt;="&amp;($B8+$E8/1440+'設定・説明'!$B$7/1440),'ラウンド入力'!$C$9:$C$19,"&lt;="&amp;'キャディ条件'!$G$9,'ラウンド入力'!$D$9:$D$19,'キャディ条件'!$J$9))&gt;0))),'設定・説明'!$B$10,0)+IF(AND('キャディ条件'!$I$9="ベテラン",$C8=4),'設定・説明'!$B$13,0)-('キャディ条件'!$K$9+COUNTIF($F$4:F7,P$3))*'設定・説明'!$B$11-('キャディ条件'!$L$9+COUNTIFS($F$4:F7,P$3,$C$4:C7,4))*'設定・説明'!$B$12,-9999))</x:f>
        <x:v>96</x:v>
      </x:c>
      <x:c r="Q8" s="83" t="str">
        <x:f>IF(OR(Q$3="",$A8=""),"",IF(AND(COUNTIF('キャディ条件'!$A$5:$A$14,Q$3)=1,OR('キャディ条件'!$C$10="全日",AND('キャディ条件'!$C$10="土日",WEEKDAY($B8,2)&gt;=6),AND('キャディ条件'!$C$10="平日",WEEKDAY($B8,2)&lt;=5)),$C8&lt;='キャディ条件'!$G$10,OR('キャディ条件'!$J$10="全コース",'キャディ条件'!$J$10=$D8),COUNTIF($F$4:F7,Q$3)&lt;'キャディ条件'!$D$10,OR(COUNTIF($F$4:F7,Q$3)=0,'キャディ条件'!$E$10="はい"),COUNTIFS($F$4:F7,Q$3,$I$4:I7,"&gt;"&amp;$B8)=0),100+IF('キャディ条件'!$H$10=$C8,'設定・説明'!$B$9,0)+IF(AND('キャディ条件'!$E$10="はい",'キャディ条件'!$F$10="はい",OR(COUNTIF($F$4:F7,Q$3)=1,AND(COUNTIF($F$4:F7,Q$3)=0,IF('キャディ条件'!$J$10="全コース",COUNTIFS('ラウンド入力'!$A$9:$A$19,"&lt;&gt;",'ラウンド入力'!$B$9:$B$19,"&gt;="&amp;($B8+$E8/1440+'設定・説明'!$B$7/1440),'ラウンド入力'!$C$9:$C$19,"&lt;="&amp;'キャディ条件'!$G$10),COUNTIFS('ラウンド入力'!$A$9:$A$19,"&lt;&gt;",'ラウンド入力'!$B$9:$B$19,"&gt;="&amp;($B8+$E8/1440+'設定・説明'!$B$7/1440),'ラウンド入力'!$C$9:$C$19,"&lt;="&amp;'キャディ条件'!$G$10,'ラウンド入力'!$D$9:$D$19,'キャディ条件'!$J$10))&gt;0))),'設定・説明'!$B$10,0)+IF(AND('キャディ条件'!$I$10="ベテラン",$C8=4),'設定・説明'!$B$13,0)-('キャディ条件'!$K$10+COUNTIF($F$4:F7,Q$3))*'設定・説明'!$B$11-('キャディ条件'!$L$10+COUNTIFS($F$4:F7,Q$3,$C$4:C7,4))*'設定・説明'!$B$12,-9999))</x:f>
      </x:c>
      <x:c r="R8" s="83" t="str">
        <x:f>IF(OR(R$3="",$A8=""),"",IF(AND(COUNTIF('キャディ条件'!$A$5:$A$14,R$3)=1,OR('キャディ条件'!$C$11="全日",AND('キャディ条件'!$C$11="土日",WEEKDAY($B8,2)&gt;=6),AND('キャディ条件'!$C$11="平日",WEEKDAY($B8,2)&lt;=5)),$C8&lt;='キャディ条件'!$G$11,OR('キャディ条件'!$J$11="全コース",'キャディ条件'!$J$11=$D8),COUNTIF($F$4:F7,R$3)&lt;'キャディ条件'!$D$11,OR(COUNTIF($F$4:F7,R$3)=0,'キャディ条件'!$E$11="はい"),COUNTIFS($F$4:F7,R$3,$I$4:I7,"&gt;"&amp;$B8)=0),100+IF('キャディ条件'!$H$11=$C8,'設定・説明'!$B$9,0)+IF(AND('キャディ条件'!$E$11="はい",'キャディ条件'!$F$11="はい",OR(COUNTIF($F$4:F7,R$3)=1,AND(COUNTIF($F$4:F7,R$3)=0,IF('キャディ条件'!$J$11="全コース",COUNTIFS('ラウンド入力'!$A$9:$A$19,"&lt;&gt;",'ラウンド入力'!$B$9:$B$19,"&gt;="&amp;($B8+$E8/1440+'設定・説明'!$B$7/1440),'ラウンド入力'!$C$9:$C$19,"&lt;="&amp;'キャディ条件'!$G$11),COUNTIFS('ラウンド入力'!$A$9:$A$19,"&lt;&gt;",'ラウンド入力'!$B$9:$B$19,"&gt;="&amp;($B8+$E8/1440+'設定・説明'!$B$7/1440),'ラウンド入力'!$C$9:$C$19,"&lt;="&amp;'キャディ条件'!$G$11,'ラウンド入力'!$D$9:$D$19,'キャディ条件'!$J$11))&gt;0))),'設定・説明'!$B$10,0)+IF(AND('キャディ条件'!$I$11="ベテラン",$C8=4),'設定・説明'!$B$13,0)-('キャディ条件'!$K$11+COUNTIF($F$4:F7,R$3))*'設定・説明'!$B$11-('キャディ条件'!$L$11+COUNTIFS($F$4:F7,R$3,$C$4:C7,4))*'設定・説明'!$B$12,-9999))</x:f>
      </x:c>
      <x:c r="S8" s="83" t="str">
        <x:f>IF(OR(S$3="",$A8=""),"",IF(AND(COUNTIF('キャディ条件'!$A$5:$A$14,S$3)=1,OR('キャディ条件'!$C$12="全日",AND('キャディ条件'!$C$12="土日",WEEKDAY($B8,2)&gt;=6),AND('キャディ条件'!$C$12="平日",WEEKDAY($B8,2)&lt;=5)),$C8&lt;='キャディ条件'!$G$12,OR('キャディ条件'!$J$12="全コース",'キャディ条件'!$J$12=$D8),COUNTIF($F$4:F7,S$3)&lt;'キャディ条件'!$D$12,OR(COUNTIF($F$4:F7,S$3)=0,'キャディ条件'!$E$12="はい"),COUNTIFS($F$4:F7,S$3,$I$4:I7,"&gt;"&amp;$B8)=0),100+IF('キャディ条件'!$H$12=$C8,'設定・説明'!$B$9,0)+IF(AND('キャディ条件'!$E$12="はい",'キャディ条件'!$F$12="はい",OR(COUNTIF($F$4:F7,S$3)=1,AND(COUNTIF($F$4:F7,S$3)=0,IF('キャディ条件'!$J$12="全コース",COUNTIFS('ラウンド入力'!$A$9:$A$19,"&lt;&gt;",'ラウンド入力'!$B$9:$B$19,"&gt;="&amp;($B8+$E8/1440+'設定・説明'!$B$7/1440),'ラウンド入力'!$C$9:$C$19,"&lt;="&amp;'キャディ条件'!$G$12),COUNTIFS('ラウンド入力'!$A$9:$A$19,"&lt;&gt;",'ラウンド入力'!$B$9:$B$19,"&gt;="&amp;($B8+$E8/1440+'設定・説明'!$B$7/1440),'ラウンド入力'!$C$9:$C$19,"&lt;="&amp;'キャディ条件'!$G$12,'ラウンド入力'!$D$9:$D$19,'キャディ条件'!$J$12))&gt;0))),'設定・説明'!$B$10,0)+IF(AND('キャディ条件'!$I$12="ベテラン",$C8=4),'設定・説明'!$B$13,0)-('キャディ条件'!$K$12+COUNTIF($F$4:F7,S$3))*'設定・説明'!$B$11-('キャディ条件'!$L$12+COUNTIFS($F$4:F7,S$3,$C$4:C7,4))*'設定・説明'!$B$12,-9999))</x:f>
      </x:c>
      <x:c r="T8" s="83" t="str">
        <x:f>IF(OR(T$3="",$A8=""),"",IF(AND(COUNTIF('キャディ条件'!$A$5:$A$14,T$3)=1,OR('キャディ条件'!$C$13="全日",AND('キャディ条件'!$C$13="土日",WEEKDAY($B8,2)&gt;=6),AND('キャディ条件'!$C$13="平日",WEEKDAY($B8,2)&lt;=5)),$C8&lt;='キャディ条件'!$G$13,OR('キャディ条件'!$J$13="全コース",'キャディ条件'!$J$13=$D8),COUNTIF($F$4:F7,T$3)&lt;'キャディ条件'!$D$13,OR(COUNTIF($F$4:F7,T$3)=0,'キャディ条件'!$E$13="はい"),COUNTIFS($F$4:F7,T$3,$I$4:I7,"&gt;"&amp;$B8)=0),100+IF('キャディ条件'!$H$13=$C8,'設定・説明'!$B$9,0)+IF(AND('キャディ条件'!$E$13="はい",'キャディ条件'!$F$13="はい",OR(COUNTIF($F$4:F7,T$3)=1,AND(COUNTIF($F$4:F7,T$3)=0,IF('キャディ条件'!$J$13="全コース",COUNTIFS('ラウンド入力'!$A$9:$A$19,"&lt;&gt;",'ラウンド入力'!$B$9:$B$19,"&gt;="&amp;($B8+$E8/1440+'設定・説明'!$B$7/1440),'ラウンド入力'!$C$9:$C$19,"&lt;="&amp;'キャディ条件'!$G$13),COUNTIFS('ラウンド入力'!$A$9:$A$19,"&lt;&gt;",'ラウンド入力'!$B$9:$B$19,"&gt;="&amp;($B8+$E8/1440+'設定・説明'!$B$7/1440),'ラウンド入力'!$C$9:$C$19,"&lt;="&amp;'キャディ条件'!$G$13,'ラウンド入力'!$D$9:$D$19,'キャディ条件'!$J$13))&gt;0))),'設定・説明'!$B$10,0)+IF(AND('キャディ条件'!$I$13="ベテラン",$C8=4),'設定・説明'!$B$13,0)-('キャディ条件'!$K$13+COUNTIF($F$4:F7,T$3))*'設定・説明'!$B$11-('キャディ条件'!$L$13+COUNTIFS($F$4:F7,T$3,$C$4:C7,4))*'設定・説明'!$B$12,-9999))</x:f>
      </x:c>
      <x:c r="U8" s="83" t="str">
        <x:f>IF(OR(U$3="",$A8=""),"",IF(AND(COUNTIF('キャディ条件'!$A$5:$A$14,U$3)=1,OR('キャディ条件'!$C$14="全日",AND('キャディ条件'!$C$14="土日",WEEKDAY($B8,2)&gt;=6),AND('キャディ条件'!$C$14="平日",WEEKDAY($B8,2)&lt;=5)),$C8&lt;='キャディ条件'!$G$14,OR('キャディ条件'!$J$14="全コース",'キャディ条件'!$J$14=$D8),COUNTIF($F$4:F7,U$3)&lt;'キャディ条件'!$D$14,OR(COUNTIF($F$4:F7,U$3)=0,'キャディ条件'!$E$14="はい"),COUNTIFS($F$4:F7,U$3,$I$4:I7,"&gt;"&amp;$B8)=0),100+IF('キャディ条件'!$H$14=$C8,'設定・説明'!$B$9,0)+IF(AND('キャディ条件'!$E$14="はい",'キャディ条件'!$F$14="はい",OR(COUNTIF($F$4:F7,U$3)=1,AND(COUNTIF($F$4:F7,U$3)=0,IF('キャディ条件'!$J$14="全コース",COUNTIFS('ラウンド入力'!$A$9:$A$19,"&lt;&gt;",'ラウンド入力'!$B$9:$B$19,"&gt;="&amp;($B8+$E8/1440+'設定・説明'!$B$7/1440),'ラウンド入力'!$C$9:$C$19,"&lt;="&amp;'キャディ条件'!$G$14),COUNTIFS('ラウンド入力'!$A$9:$A$19,"&lt;&gt;",'ラウンド入力'!$B$9:$B$19,"&gt;="&amp;($B8+$E8/1440+'設定・説明'!$B$7/1440),'ラウンド入力'!$C$9:$C$19,"&lt;="&amp;'キャディ条件'!$G$14,'ラウンド入力'!$D$9:$D$19,'キャディ条件'!$J$14))&gt;0))),'設定・説明'!$B$10,0)+IF(AND('キャディ条件'!$I$14="ベテラン",$C8=4),'設定・説明'!$B$13,0)-('キャディ条件'!$K$14+COUNTIF($F$4:F7,U$3))*'設定・説明'!$B$11-('キャディ条件'!$L$14+COUNTIFS($F$4:F7,U$3,$C$4:C7,4))*'設定・説明'!$B$12,-9999))</x:f>
      </x:c>
      <x:c r="V8" s="74" t="n">
        <x:f>IF($A8="","",IF($J8="人数希望一致",1,0))</x:f>
        <x:v>0</x:v>
      </x:c>
    </x:row>
    <x:row r="9">
      <x:c r="A9" s="73" t="str">
        <x:f>IF('ラウンド入力'!A9="","",'ラウンド入力'!A9)</x:f>
        <x:v>R5</x:v>
      </x:c>
      <x:c r="B9" s="79" t="n">
        <x:f>IF('ラウンド入力'!A9="","",'ラウンド入力'!B9)</x:f>
        <x:v>46270.583333333336</x:v>
      </x:c>
      <x:c r="C9" s="74" t="n">
        <x:f>IF('ラウンド入力'!A9="","",'ラウンド入力'!C9)</x:f>
        <x:v>2</x:v>
      </x:c>
      <x:c r="D9" s="74" t="str">
        <x:f>IF('ラウンド入力'!A9="","",'ラウンド入力'!D9)</x:f>
        <x:v>OUT</x:v>
      </x:c>
      <x:c r="E9" s="74" t="n">
        <x:f>IF('ラウンド入力'!A9="","",IF('ラウンド入力'!E9="",'設定・説明'!$B$6,'ラウンド入力'!E9))</x:f>
        <x:v>270</x:v>
      </x:c>
      <x:c r="F9" s="74" t="str">
        <x:f>IF($A9="","",IF(COUNTIF(L9:U9,"&gt;-9999")=0,"未割当",INDEX($L$3:$U$3,1,MATCH(MAX(L9:U9),L9:U9,0))))</x:f>
        <x:v>cad_ito</x:v>
      </x:c>
      <x:c r="G9" s="74" t="str">
        <x:f>IF(OR($F9="",$F9="未割当"),"",INDEX('キャディ条件'!$B$5:$B$14,MATCH($F9,'キャディ条件'!$A$5:$A$14,0)))</x:f>
        <x:v>伊藤</x:v>
      </x:c>
      <x:c r="H9" s="81" t="n">
        <x:f>IF($A9="","",$B9+$E9/1440)</x:f>
        <x:v>46270.770833333336</x:v>
      </x:c>
      <x:c r="I9" s="81" t="n">
        <x:f>IF($A9="","",$H9+'設定・説明'!$B$7/1440)</x:f>
        <x:v>46270.8125</x:v>
      </x:c>
      <x:c r="J9" s="85" t="str">
        <x:f>IF($A9="","",IF($F9="未割当","Hard条件を満たす候補なし",IF(INDEX('キャディ条件'!$H$5:$H$14,MATCH($F9,'キャディ条件'!$A$5:$A$14,0))=$C9,"人数希望一致",IF(AND(INDEX('キャディ条件'!$F$5:$F$14,MATCH($F9,'キャディ条件'!$A$5:$A$14,0))="はい",COUNTIF($F$5:$F$19,$F9)=2),"2ラウンド希望を考慮","公平性・残容量"))))</x:f>
        <x:v>公平性・残容量</x:v>
      </x:c>
      <x:c r="K9" s="85" t="str">
        <x:f>IF($A9="","",IF($F9="未割当","要手動調整",""))</x:f>
      </x:c>
      <x:c r="L9" s="83" t="n">
        <x:f>IF(OR(L$3="",$A9=""),"",IF(AND(COUNTIF('キャディ条件'!$A$5:$A$14,L$3)=1,OR('キャディ条件'!$C$5="全日",AND('キャディ条件'!$C$5="土日",WEEKDAY($B9,2)&gt;=6),AND('キャディ条件'!$C$5="平日",WEEKDAY($B9,2)&lt;=5)),$C9&lt;='キャディ条件'!$G$5,OR('キャディ条件'!$J$5="全コース",'キャディ条件'!$J$5=$D9),COUNTIF($F$4:F8,L$3)&lt;'キャディ条件'!$D$5,OR(COUNTIF($F$4:F8,L$3)=0,'キャディ条件'!$E$5="はい"),COUNTIFS($F$4:F8,L$3,$I$4:I8,"&gt;"&amp;$B9)=0),100+IF('キャディ条件'!$H$5=$C9,'設定・説明'!$B$9,0)+IF(AND('キャディ条件'!$E$5="はい",'キャディ条件'!$F$5="はい",OR(COUNTIF($F$4:F8,L$3)=1,AND(COUNTIF($F$4:F8,L$3)=0,IF('キャディ条件'!$J$5="全コース",COUNTIFS('ラウンド入力'!$A$10:$A$19,"&lt;&gt;",'ラウンド入力'!$B$10:$B$19,"&gt;="&amp;($B9+$E9/1440+'設定・説明'!$B$7/1440),'ラウンド入力'!$C$10:$C$19,"&lt;="&amp;'キャディ条件'!$G$5),COUNTIFS('ラウンド入力'!$A$10:$A$19,"&lt;&gt;",'ラウンド入力'!$B$10:$B$19,"&gt;="&amp;($B9+$E9/1440+'設定・説明'!$B$7/1440),'ラウンド入力'!$C$10:$C$19,"&lt;="&amp;'キャディ条件'!$G$5,'ラウンド入力'!$D$10:$D$19,'キャディ条件'!$J$5))&gt;0))),'設定・説明'!$B$10,0)+IF(AND('キャディ条件'!$I$5="ベテラン",$C9=4),'設定・説明'!$B$13,0)-('キャディ条件'!$K$5+COUNTIF($F$4:F8,L$3))*'設定・説明'!$B$11-('キャディ条件'!$L$5+COUNTIFS($F$4:F8,L$3,$C$4:C8,4))*'設定・説明'!$B$12,-9999))</x:f>
        <x:v>-9999</x:v>
      </x:c>
      <x:c r="M9" s="83" t="n">
        <x:f>IF(OR(M$3="",$A9=""),"",IF(AND(COUNTIF('キャディ条件'!$A$5:$A$14,M$3)=1,OR('キャディ条件'!$C$6="全日",AND('キャディ条件'!$C$6="土日",WEEKDAY($B9,2)&gt;=6),AND('キャディ条件'!$C$6="平日",WEEKDAY($B9,2)&lt;=5)),$C9&lt;='キャディ条件'!$G$6,OR('キャディ条件'!$J$6="全コース",'キャディ条件'!$J$6=$D9),COUNTIF($F$4:F8,M$3)&lt;'キャディ条件'!$D$6,OR(COUNTIF($F$4:F8,M$3)=0,'キャディ条件'!$E$6="はい"),COUNTIFS($F$4:F8,M$3,$I$4:I8,"&gt;"&amp;$B9)=0),100+IF('キャディ条件'!$H$6=$C9,'設定・説明'!$B$9,0)+IF(AND('キャディ条件'!$E$6="はい",'キャディ条件'!$F$6="はい",OR(COUNTIF($F$4:F8,M$3)=1,AND(COUNTIF($F$4:F8,M$3)=0,IF('キャディ条件'!$J$6="全コース",COUNTIFS('ラウンド入力'!$A$10:$A$19,"&lt;&gt;",'ラウンド入力'!$B$10:$B$19,"&gt;="&amp;($B9+$E9/1440+'設定・説明'!$B$7/1440),'ラウンド入力'!$C$10:$C$19,"&lt;="&amp;'キャディ条件'!$G$6),COUNTIFS('ラウンド入力'!$A$10:$A$19,"&lt;&gt;",'ラウンド入力'!$B$10:$B$19,"&gt;="&amp;($B9+$E9/1440+'設定・説明'!$B$7/1440),'ラウンド入力'!$C$10:$C$19,"&lt;="&amp;'キャディ条件'!$G$6,'ラウンド入力'!$D$10:$D$19,'キャディ条件'!$J$6))&gt;0))),'設定・説明'!$B$10,0)+IF(AND('キャディ条件'!$I$6="ベテラン",$C9=4),'設定・説明'!$B$13,0)-('キャディ条件'!$K$6+COUNTIF($F$4:F8,M$3))*'設定・説明'!$B$11-('キャディ条件'!$L$6+COUNTIFS($F$4:F8,M$3,$C$4:C8,4))*'設定・説明'!$B$12,-9999))</x:f>
        <x:v>-9999</x:v>
      </x:c>
      <x:c r="N9" s="83" t="n">
        <x:f>IF(OR(N$3="",$A9=""),"",IF(AND(COUNTIF('キャディ条件'!$A$5:$A$14,N$3)=1,OR('キャディ条件'!$C$7="全日",AND('キャディ条件'!$C$7="土日",WEEKDAY($B9,2)&gt;=6),AND('キャディ条件'!$C$7="平日",WEEKDAY($B9,2)&lt;=5)),$C9&lt;='キャディ条件'!$G$7,OR('キャディ条件'!$J$7="全コース",'キャディ条件'!$J$7=$D9),COUNTIF($F$4:F8,N$3)&lt;'キャディ条件'!$D$7,OR(COUNTIF($F$4:F8,N$3)=0,'キャディ条件'!$E$7="はい"),COUNTIFS($F$4:F8,N$3,$I$4:I8,"&gt;"&amp;$B9)=0),100+IF('キャディ条件'!$H$7=$C9,'設定・説明'!$B$9,0)+IF(AND('キャディ条件'!$E$7="はい",'キャディ条件'!$F$7="はい",OR(COUNTIF($F$4:F8,N$3)=1,AND(COUNTIF($F$4:F8,N$3)=0,IF('キャディ条件'!$J$7="全コース",COUNTIFS('ラウンド入力'!$A$10:$A$19,"&lt;&gt;",'ラウンド入力'!$B$10:$B$19,"&gt;="&amp;($B9+$E9/1440+'設定・説明'!$B$7/1440),'ラウンド入力'!$C$10:$C$19,"&lt;="&amp;'キャディ条件'!$G$7),COUNTIFS('ラウンド入力'!$A$10:$A$19,"&lt;&gt;",'ラウンド入力'!$B$10:$B$19,"&gt;="&amp;($B9+$E9/1440+'設定・説明'!$B$7/1440),'ラウンド入力'!$C$10:$C$19,"&lt;="&amp;'キャディ条件'!$G$7,'ラウンド入力'!$D$10:$D$19,'キャディ条件'!$J$7))&gt;0))),'設定・説明'!$B$10,0)+IF(AND('キャディ条件'!$I$7="ベテラン",$C9=4),'設定・説明'!$B$13,0)-('キャディ条件'!$K$7+COUNTIF($F$4:F8,N$3))*'設定・説明'!$B$11-('キャディ条件'!$L$7+COUNTIFS($F$4:F8,N$3,$C$4:C8,4))*'設定・説明'!$B$12,-9999))</x:f>
        <x:v>-9999</x:v>
      </x:c>
      <x:c r="O9" s="83" t="n">
        <x:f>IF(OR(O$3="",$A9=""),"",IF(AND(COUNTIF('キャディ条件'!$A$5:$A$14,O$3)=1,OR('キャディ条件'!$C$8="全日",AND('キャディ条件'!$C$8="土日",WEEKDAY($B9,2)&gt;=6),AND('キャディ条件'!$C$8="平日",WEEKDAY($B9,2)&lt;=5)),$C9&lt;='キャディ条件'!$G$8,OR('キャディ条件'!$J$8="全コース",'キャディ条件'!$J$8=$D9),COUNTIF($F$4:F8,O$3)&lt;'キャディ条件'!$D$8,OR(COUNTIF($F$4:F8,O$3)=0,'キャディ条件'!$E$8="はい"),COUNTIFS($F$4:F8,O$3,$I$4:I8,"&gt;"&amp;$B9)=0),100+IF('キャディ条件'!$H$8=$C9,'設定・説明'!$B$9,0)+IF(AND('キャディ条件'!$E$8="はい",'キャディ条件'!$F$8="はい",OR(COUNTIF($F$4:F8,O$3)=1,AND(COUNTIF($F$4:F8,O$3)=0,IF('キャディ条件'!$J$8="全コース",COUNTIFS('ラウンド入力'!$A$10:$A$19,"&lt;&gt;",'ラウンド入力'!$B$10:$B$19,"&gt;="&amp;($B9+$E9/1440+'設定・説明'!$B$7/1440),'ラウンド入力'!$C$10:$C$19,"&lt;="&amp;'キャディ条件'!$G$8),COUNTIFS('ラウンド入力'!$A$10:$A$19,"&lt;&gt;",'ラウンド入力'!$B$10:$B$19,"&gt;="&amp;($B9+$E9/1440+'設定・説明'!$B$7/1440),'ラウンド入力'!$C$10:$C$19,"&lt;="&amp;'キャディ条件'!$G$8,'ラウンド入力'!$D$10:$D$19,'キャディ条件'!$J$8))&gt;0))),'設定・説明'!$B$10,0)+IF(AND('キャディ条件'!$I$8="ベテラン",$C9=4),'設定・説明'!$B$13,0)-('キャディ条件'!$K$8+COUNTIF($F$4:F8,O$3))*'設定・説明'!$B$11-('キャディ条件'!$L$8+COUNTIFS($F$4:F8,O$3,$C$4:C8,4))*'設定・説明'!$B$12,-9999))</x:f>
        <x:v>-9999</x:v>
      </x:c>
      <x:c r="P9" s="83" t="n">
        <x:f>IF(OR(P$3="",$A9=""),"",IF(AND(COUNTIF('キャディ条件'!$A$5:$A$14,P$3)=1,OR('キャディ条件'!$C$9="全日",AND('キャディ条件'!$C$9="土日",WEEKDAY($B9,2)&gt;=6),AND('キャディ条件'!$C$9="平日",WEEKDAY($B9,2)&lt;=5)),$C9&lt;='キャディ条件'!$G$9,OR('キャディ条件'!$J$9="全コース",'キャディ条件'!$J$9=$D9),COUNTIF($F$4:F8,P$3)&lt;'キャディ条件'!$D$9,OR(COUNTIF($F$4:F8,P$3)=0,'キャディ条件'!$E$9="はい"),COUNTIFS($F$4:F8,P$3,$I$4:I8,"&gt;"&amp;$B9)=0),100+IF('キャディ条件'!$H$9=$C9,'設定・説明'!$B$9,0)+IF(AND('キャディ条件'!$E$9="はい",'キャディ条件'!$F$9="はい",OR(COUNTIF($F$4:F8,P$3)=1,AND(COUNTIF($F$4:F8,P$3)=0,IF('キャディ条件'!$J$9="全コース",COUNTIFS('ラウンド入力'!$A$10:$A$19,"&lt;&gt;",'ラウンド入力'!$B$10:$B$19,"&gt;="&amp;($B9+$E9/1440+'設定・説明'!$B$7/1440),'ラウンド入力'!$C$10:$C$19,"&lt;="&amp;'キャディ条件'!$G$9),COUNTIFS('ラウンド入力'!$A$10:$A$19,"&lt;&gt;",'ラウンド入力'!$B$10:$B$19,"&gt;="&amp;($B9+$E9/1440+'設定・説明'!$B$7/1440),'ラウンド入力'!$C$10:$C$19,"&lt;="&amp;'キャディ条件'!$G$9,'ラウンド入力'!$D$10:$D$19,'キャディ条件'!$J$9))&gt;0))),'設定・説明'!$B$10,0)+IF(AND('キャディ条件'!$I$9="ベテラン",$C9=4),'設定・説明'!$B$13,0)-('キャディ条件'!$K$9+COUNTIF($F$4:F8,P$3))*'設定・説明'!$B$11-('キャディ条件'!$L$9+COUNTIFS($F$4:F8,P$3,$C$4:C8,4))*'設定・説明'!$B$12,-9999))</x:f>
        <x:v>96</x:v>
      </x:c>
      <x:c r="Q9" s="83" t="str">
        <x:f>IF(OR(Q$3="",$A9=""),"",IF(AND(COUNTIF('キャディ条件'!$A$5:$A$14,Q$3)=1,OR('キャディ条件'!$C$10="全日",AND('キャディ条件'!$C$10="土日",WEEKDAY($B9,2)&gt;=6),AND('キャディ条件'!$C$10="平日",WEEKDAY($B9,2)&lt;=5)),$C9&lt;='キャディ条件'!$G$10,OR('キャディ条件'!$J$10="全コース",'キャディ条件'!$J$10=$D9),COUNTIF($F$4:F8,Q$3)&lt;'キャディ条件'!$D$10,OR(COUNTIF($F$4:F8,Q$3)=0,'キャディ条件'!$E$10="はい"),COUNTIFS($F$4:F8,Q$3,$I$4:I8,"&gt;"&amp;$B9)=0),100+IF('キャディ条件'!$H$10=$C9,'設定・説明'!$B$9,0)+IF(AND('キャディ条件'!$E$10="はい",'キャディ条件'!$F$10="はい",OR(COUNTIF($F$4:F8,Q$3)=1,AND(COUNTIF($F$4:F8,Q$3)=0,IF('キャディ条件'!$J$10="全コース",COUNTIFS('ラウンド入力'!$A$10:$A$19,"&lt;&gt;",'ラウンド入力'!$B$10:$B$19,"&gt;="&amp;($B9+$E9/1440+'設定・説明'!$B$7/1440),'ラウンド入力'!$C$10:$C$19,"&lt;="&amp;'キャディ条件'!$G$10),COUNTIFS('ラウンド入力'!$A$10:$A$19,"&lt;&gt;",'ラウンド入力'!$B$10:$B$19,"&gt;="&amp;($B9+$E9/1440+'設定・説明'!$B$7/1440),'ラウンド入力'!$C$10:$C$19,"&lt;="&amp;'キャディ条件'!$G$10,'ラウンド入力'!$D$10:$D$19,'キャディ条件'!$J$10))&gt;0))),'設定・説明'!$B$10,0)+IF(AND('キャディ条件'!$I$10="ベテラン",$C9=4),'設定・説明'!$B$13,0)-('キャディ条件'!$K$10+COUNTIF($F$4:F8,Q$3))*'設定・説明'!$B$11-('キャディ条件'!$L$10+COUNTIFS($F$4:F8,Q$3,$C$4:C8,4))*'設定・説明'!$B$12,-9999))</x:f>
      </x:c>
      <x:c r="R9" s="83" t="str">
        <x:f>IF(OR(R$3="",$A9=""),"",IF(AND(COUNTIF('キャディ条件'!$A$5:$A$14,R$3)=1,OR('キャディ条件'!$C$11="全日",AND('キャディ条件'!$C$11="土日",WEEKDAY($B9,2)&gt;=6),AND('キャディ条件'!$C$11="平日",WEEKDAY($B9,2)&lt;=5)),$C9&lt;='キャディ条件'!$G$11,OR('キャディ条件'!$J$11="全コース",'キャディ条件'!$J$11=$D9),COUNTIF($F$4:F8,R$3)&lt;'キャディ条件'!$D$11,OR(COUNTIF($F$4:F8,R$3)=0,'キャディ条件'!$E$11="はい"),COUNTIFS($F$4:F8,R$3,$I$4:I8,"&gt;"&amp;$B9)=0),100+IF('キャディ条件'!$H$11=$C9,'設定・説明'!$B$9,0)+IF(AND('キャディ条件'!$E$11="はい",'キャディ条件'!$F$11="はい",OR(COUNTIF($F$4:F8,R$3)=1,AND(COUNTIF($F$4:F8,R$3)=0,IF('キャディ条件'!$J$11="全コース",COUNTIFS('ラウンド入力'!$A$10:$A$19,"&lt;&gt;",'ラウンド入力'!$B$10:$B$19,"&gt;="&amp;($B9+$E9/1440+'設定・説明'!$B$7/1440),'ラウンド入力'!$C$10:$C$19,"&lt;="&amp;'キャディ条件'!$G$11),COUNTIFS('ラウンド入力'!$A$10:$A$19,"&lt;&gt;",'ラウンド入力'!$B$10:$B$19,"&gt;="&amp;($B9+$E9/1440+'設定・説明'!$B$7/1440),'ラウンド入力'!$C$10:$C$19,"&lt;="&amp;'キャディ条件'!$G$11,'ラウンド入力'!$D$10:$D$19,'キャディ条件'!$J$11))&gt;0))),'設定・説明'!$B$10,0)+IF(AND('キャディ条件'!$I$11="ベテラン",$C9=4),'設定・説明'!$B$13,0)-('キャディ条件'!$K$11+COUNTIF($F$4:F8,R$3))*'設定・説明'!$B$11-('キャディ条件'!$L$11+COUNTIFS($F$4:F8,R$3,$C$4:C8,4))*'設定・説明'!$B$12,-9999))</x:f>
      </x:c>
      <x:c r="S9" s="83" t="str">
        <x:f>IF(OR(S$3="",$A9=""),"",IF(AND(COUNTIF('キャディ条件'!$A$5:$A$14,S$3)=1,OR('キャディ条件'!$C$12="全日",AND('キャディ条件'!$C$12="土日",WEEKDAY($B9,2)&gt;=6),AND('キャディ条件'!$C$12="平日",WEEKDAY($B9,2)&lt;=5)),$C9&lt;='キャディ条件'!$G$12,OR('キャディ条件'!$J$12="全コース",'キャディ条件'!$J$12=$D9),COUNTIF($F$4:F8,S$3)&lt;'キャディ条件'!$D$12,OR(COUNTIF($F$4:F8,S$3)=0,'キャディ条件'!$E$12="はい"),COUNTIFS($F$4:F8,S$3,$I$4:I8,"&gt;"&amp;$B9)=0),100+IF('キャディ条件'!$H$12=$C9,'設定・説明'!$B$9,0)+IF(AND('キャディ条件'!$E$12="はい",'キャディ条件'!$F$12="はい",OR(COUNTIF($F$4:F8,S$3)=1,AND(COUNTIF($F$4:F8,S$3)=0,IF('キャディ条件'!$J$12="全コース",COUNTIFS('ラウンド入力'!$A$10:$A$19,"&lt;&gt;",'ラウンド入力'!$B$10:$B$19,"&gt;="&amp;($B9+$E9/1440+'設定・説明'!$B$7/1440),'ラウンド入力'!$C$10:$C$19,"&lt;="&amp;'キャディ条件'!$G$12),COUNTIFS('ラウンド入力'!$A$10:$A$19,"&lt;&gt;",'ラウンド入力'!$B$10:$B$19,"&gt;="&amp;($B9+$E9/1440+'設定・説明'!$B$7/1440),'ラウンド入力'!$C$10:$C$19,"&lt;="&amp;'キャディ条件'!$G$12,'ラウンド入力'!$D$10:$D$19,'キャディ条件'!$J$12))&gt;0))),'設定・説明'!$B$10,0)+IF(AND('キャディ条件'!$I$12="ベテラン",$C9=4),'設定・説明'!$B$13,0)-('キャディ条件'!$K$12+COUNTIF($F$4:F8,S$3))*'設定・説明'!$B$11-('キャディ条件'!$L$12+COUNTIFS($F$4:F8,S$3,$C$4:C8,4))*'設定・説明'!$B$12,-9999))</x:f>
      </x:c>
      <x:c r="T9" s="83" t="str">
        <x:f>IF(OR(T$3="",$A9=""),"",IF(AND(COUNTIF('キャディ条件'!$A$5:$A$14,T$3)=1,OR('キャディ条件'!$C$13="全日",AND('キャディ条件'!$C$13="土日",WEEKDAY($B9,2)&gt;=6),AND('キャディ条件'!$C$13="平日",WEEKDAY($B9,2)&lt;=5)),$C9&lt;='キャディ条件'!$G$13,OR('キャディ条件'!$J$13="全コース",'キャディ条件'!$J$13=$D9),COUNTIF($F$4:F8,T$3)&lt;'キャディ条件'!$D$13,OR(COUNTIF($F$4:F8,T$3)=0,'キャディ条件'!$E$13="はい"),COUNTIFS($F$4:F8,T$3,$I$4:I8,"&gt;"&amp;$B9)=0),100+IF('キャディ条件'!$H$13=$C9,'設定・説明'!$B$9,0)+IF(AND('キャディ条件'!$E$13="はい",'キャディ条件'!$F$13="はい",OR(COUNTIF($F$4:F8,T$3)=1,AND(COUNTIF($F$4:F8,T$3)=0,IF('キャディ条件'!$J$13="全コース",COUNTIFS('ラウンド入力'!$A$10:$A$19,"&lt;&gt;",'ラウンド入力'!$B$10:$B$19,"&gt;="&amp;($B9+$E9/1440+'設定・説明'!$B$7/1440),'ラウンド入力'!$C$10:$C$19,"&lt;="&amp;'キャディ条件'!$G$13),COUNTIFS('ラウンド入力'!$A$10:$A$19,"&lt;&gt;",'ラウンド入力'!$B$10:$B$19,"&gt;="&amp;($B9+$E9/1440+'設定・説明'!$B$7/1440),'ラウンド入力'!$C$10:$C$19,"&lt;="&amp;'キャディ条件'!$G$13,'ラウンド入力'!$D$10:$D$19,'キャディ条件'!$J$13))&gt;0))),'設定・説明'!$B$10,0)+IF(AND('キャディ条件'!$I$13="ベテラン",$C9=4),'設定・説明'!$B$13,0)-('キャディ条件'!$K$13+COUNTIF($F$4:F8,T$3))*'設定・説明'!$B$11-('キャディ条件'!$L$13+COUNTIFS($F$4:F8,T$3,$C$4:C8,4))*'設定・説明'!$B$12,-9999))</x:f>
      </x:c>
      <x:c r="U9" s="83" t="str">
        <x:f>IF(OR(U$3="",$A9=""),"",IF(AND(COUNTIF('キャディ条件'!$A$5:$A$14,U$3)=1,OR('キャディ条件'!$C$14="全日",AND('キャディ条件'!$C$14="土日",WEEKDAY($B9,2)&gt;=6),AND('キャディ条件'!$C$14="平日",WEEKDAY($B9,2)&lt;=5)),$C9&lt;='キャディ条件'!$G$14,OR('キャディ条件'!$J$14="全コース",'キャディ条件'!$J$14=$D9),COUNTIF($F$4:F8,U$3)&lt;'キャディ条件'!$D$14,OR(COUNTIF($F$4:F8,U$3)=0,'キャディ条件'!$E$14="はい"),COUNTIFS($F$4:F8,U$3,$I$4:I8,"&gt;"&amp;$B9)=0),100+IF('キャディ条件'!$H$14=$C9,'設定・説明'!$B$9,0)+IF(AND('キャディ条件'!$E$14="はい",'キャディ条件'!$F$14="はい",OR(COUNTIF($F$4:F8,U$3)=1,AND(COUNTIF($F$4:F8,U$3)=0,IF('キャディ条件'!$J$14="全コース",COUNTIFS('ラウンド入力'!$A$10:$A$19,"&lt;&gt;",'ラウンド入力'!$B$10:$B$19,"&gt;="&amp;($B9+$E9/1440+'設定・説明'!$B$7/1440),'ラウンド入力'!$C$10:$C$19,"&lt;="&amp;'キャディ条件'!$G$14),COUNTIFS('ラウンド入力'!$A$10:$A$19,"&lt;&gt;",'ラウンド入力'!$B$10:$B$19,"&gt;="&amp;($B9+$E9/1440+'設定・説明'!$B$7/1440),'ラウンド入力'!$C$10:$C$19,"&lt;="&amp;'キャディ条件'!$G$14,'ラウンド入力'!$D$10:$D$19,'キャディ条件'!$J$14))&gt;0))),'設定・説明'!$B$10,0)+IF(AND('キャディ条件'!$I$14="ベテラン",$C9=4),'設定・説明'!$B$13,0)-('キャディ条件'!$K$14+COUNTIF($F$4:F8,U$3))*'設定・説明'!$B$11-('キャディ条件'!$L$14+COUNTIFS($F$4:F8,U$3,$C$4:C8,4))*'設定・説明'!$B$12,-9999))</x:f>
      </x:c>
      <x:c r="V9" s="74" t="n">
        <x:f>IF($A9="","",IF($J9="人数希望一致",1,0))</x:f>
        <x:v>0</x:v>
      </x:c>
    </x:row>
    <x:row r="10">
      <x:c r="A10" s="73" t="str">
        <x:f>IF('ラウンド入力'!A10="","",'ラウンド入力'!A10)</x:f>
      </x:c>
      <x:c r="B10" s="79" t="str">
        <x:f>IF('ラウンド入力'!A10="","",'ラウンド入力'!B10)</x:f>
      </x:c>
      <x:c r="C10" s="74" t="str">
        <x:f>IF('ラウンド入力'!A10="","",'ラウンド入力'!C10)</x:f>
      </x:c>
      <x:c r="D10" s="74" t="str">
        <x:f>IF('ラウンド入力'!A10="","",'ラウンド入力'!D10)</x:f>
      </x:c>
      <x:c r="E10" s="74" t="str">
        <x:f>IF('ラウンド入力'!A10="","",IF('ラウンド入力'!E10="",'設定・説明'!$B$6,'ラウンド入力'!E10))</x:f>
      </x:c>
      <x:c r="F10" s="74" t="str">
        <x:f>IF($A10="","",IF(COUNTIF(L10:U10,"&gt;-9999")=0,"未割当",INDEX($L$3:$U$3,1,MATCH(MAX(L10:U10),L10:U10,0))))</x:f>
      </x:c>
      <x:c r="G10" s="74" t="str">
        <x:f>IF(OR($F10="",$F10="未割当"),"",INDEX('キャディ条件'!$B$5:$B$14,MATCH($F10,'キャディ条件'!$A$5:$A$14,0)))</x:f>
      </x:c>
      <x:c r="H10" s="81" t="str">
        <x:f>IF($A10="","",$B10+$E10/1440)</x:f>
      </x:c>
      <x:c r="I10" s="81" t="str">
        <x:f>IF($A10="","",$H10+'設定・説明'!$B$7/1440)</x:f>
      </x:c>
      <x:c r="J10" s="85" t="str">
        <x:f>IF($A10="","",IF($F10="未割当","Hard条件を満たす候補なし",IF(INDEX('キャディ条件'!$H$5:$H$14,MATCH($F10,'キャディ条件'!$A$5:$A$14,0))=$C10,"人数希望一致",IF(AND(INDEX('キャディ条件'!$F$5:$F$14,MATCH($F10,'キャディ条件'!$A$5:$A$14,0))="はい",COUNTIF($F$5:$F$19,$F10)=2),"2ラウンド希望を考慮","公平性・残容量"))))</x:f>
      </x:c>
      <x:c r="K10" s="85" t="str">
        <x:f>IF($A10="","",IF($F10="未割当","要手動調整",""))</x:f>
      </x:c>
      <x:c r="L10" s="83" t="str">
        <x:f>IF(OR(L$3="",$A10=""),"",IF(AND(COUNTIF('キャディ条件'!$A$5:$A$14,L$3)=1,OR('キャディ条件'!$C$5="全日",AND('キャディ条件'!$C$5="土日",WEEKDAY($B10,2)&gt;=6),AND('キャディ条件'!$C$5="平日",WEEKDAY($B10,2)&lt;=5)),$C10&lt;='キャディ条件'!$G$5,OR('キャディ条件'!$J$5="全コース",'キャディ条件'!$J$5=$D10),COUNTIF($F$4:F9,L$3)&lt;'キャディ条件'!$D$5,OR(COUNTIF($F$4:F9,L$3)=0,'キャディ条件'!$E$5="はい"),COUNTIFS($F$4:F9,L$3,$I$4:I9,"&gt;"&amp;$B10)=0),100+IF('キャディ条件'!$H$5=$C10,'設定・説明'!$B$9,0)+IF(AND('キャディ条件'!$E$5="はい",'キャディ条件'!$F$5="はい",OR(COUNTIF($F$4:F9,L$3)=1,AND(COUNTIF($F$4:F9,L$3)=0,IF('キャディ条件'!$J$5="全コース",COUNTIFS('ラウンド入力'!$A$11:$A$19,"&lt;&gt;",'ラウンド入力'!$B$11:$B$19,"&gt;="&amp;($B10+$E10/1440+'設定・説明'!$B$7/1440),'ラウンド入力'!$C$11:$C$19,"&lt;="&amp;'キャディ条件'!$G$5),COUNTIFS('ラウンド入力'!$A$11:$A$19,"&lt;&gt;",'ラウンド入力'!$B$11:$B$19,"&gt;="&amp;($B10+$E10/1440+'設定・説明'!$B$7/1440),'ラウンド入力'!$C$11:$C$19,"&lt;="&amp;'キャディ条件'!$G$5,'ラウンド入力'!$D$11:$D$19,'キャディ条件'!$J$5))&gt;0))),'設定・説明'!$B$10,0)+IF(AND('キャディ条件'!$I$5="ベテラン",$C10=4),'設定・説明'!$B$13,0)-('キャディ条件'!$K$5+COUNTIF($F$4:F9,L$3))*'設定・説明'!$B$11-('キャディ条件'!$L$5+COUNTIFS($F$4:F9,L$3,$C$4:C9,4))*'設定・説明'!$B$12,-9999))</x:f>
      </x:c>
      <x:c r="M10" s="83" t="str">
        <x:f>IF(OR(M$3="",$A10=""),"",IF(AND(COUNTIF('キャディ条件'!$A$5:$A$14,M$3)=1,OR('キャディ条件'!$C$6="全日",AND('キャディ条件'!$C$6="土日",WEEKDAY($B10,2)&gt;=6),AND('キャディ条件'!$C$6="平日",WEEKDAY($B10,2)&lt;=5)),$C10&lt;='キャディ条件'!$G$6,OR('キャディ条件'!$J$6="全コース",'キャディ条件'!$J$6=$D10),COUNTIF($F$4:F9,M$3)&lt;'キャディ条件'!$D$6,OR(COUNTIF($F$4:F9,M$3)=0,'キャディ条件'!$E$6="はい"),COUNTIFS($F$4:F9,M$3,$I$4:I9,"&gt;"&amp;$B10)=0),100+IF('キャディ条件'!$H$6=$C10,'設定・説明'!$B$9,0)+IF(AND('キャディ条件'!$E$6="はい",'キャディ条件'!$F$6="はい",OR(COUNTIF($F$4:F9,M$3)=1,AND(COUNTIF($F$4:F9,M$3)=0,IF('キャディ条件'!$J$6="全コース",COUNTIFS('ラウンド入力'!$A$11:$A$19,"&lt;&gt;",'ラウンド入力'!$B$11:$B$19,"&gt;="&amp;($B10+$E10/1440+'設定・説明'!$B$7/1440),'ラウンド入力'!$C$11:$C$19,"&lt;="&amp;'キャディ条件'!$G$6),COUNTIFS('ラウンド入力'!$A$11:$A$19,"&lt;&gt;",'ラウンド入力'!$B$11:$B$19,"&gt;="&amp;($B10+$E10/1440+'設定・説明'!$B$7/1440),'ラウンド入力'!$C$11:$C$19,"&lt;="&amp;'キャディ条件'!$G$6,'ラウンド入力'!$D$11:$D$19,'キャディ条件'!$J$6))&gt;0))),'設定・説明'!$B$10,0)+IF(AND('キャディ条件'!$I$6="ベテラン",$C10=4),'設定・説明'!$B$13,0)-('キャディ条件'!$K$6+COUNTIF($F$4:F9,M$3))*'設定・説明'!$B$11-('キャディ条件'!$L$6+COUNTIFS($F$4:F9,M$3,$C$4:C9,4))*'設定・説明'!$B$12,-9999))</x:f>
      </x:c>
      <x:c r="N10" s="83" t="str">
        <x:f>IF(OR(N$3="",$A10=""),"",IF(AND(COUNTIF('キャディ条件'!$A$5:$A$14,N$3)=1,OR('キャディ条件'!$C$7="全日",AND('キャディ条件'!$C$7="土日",WEEKDAY($B10,2)&gt;=6),AND('キャディ条件'!$C$7="平日",WEEKDAY($B10,2)&lt;=5)),$C10&lt;='キャディ条件'!$G$7,OR('キャディ条件'!$J$7="全コース",'キャディ条件'!$J$7=$D10),COUNTIF($F$4:F9,N$3)&lt;'キャディ条件'!$D$7,OR(COUNTIF($F$4:F9,N$3)=0,'キャディ条件'!$E$7="はい"),COUNTIFS($F$4:F9,N$3,$I$4:I9,"&gt;"&amp;$B10)=0),100+IF('キャディ条件'!$H$7=$C10,'設定・説明'!$B$9,0)+IF(AND('キャディ条件'!$E$7="はい",'キャディ条件'!$F$7="はい",OR(COUNTIF($F$4:F9,N$3)=1,AND(COUNTIF($F$4:F9,N$3)=0,IF('キャディ条件'!$J$7="全コース",COUNTIFS('ラウンド入力'!$A$11:$A$19,"&lt;&gt;",'ラウンド入力'!$B$11:$B$19,"&gt;="&amp;($B10+$E10/1440+'設定・説明'!$B$7/1440),'ラウンド入力'!$C$11:$C$19,"&lt;="&amp;'キャディ条件'!$G$7),COUNTIFS('ラウンド入力'!$A$11:$A$19,"&lt;&gt;",'ラウンド入力'!$B$11:$B$19,"&gt;="&amp;($B10+$E10/1440+'設定・説明'!$B$7/1440),'ラウンド入力'!$C$11:$C$19,"&lt;="&amp;'キャディ条件'!$G$7,'ラウンド入力'!$D$11:$D$19,'キャディ条件'!$J$7))&gt;0))),'設定・説明'!$B$10,0)+IF(AND('キャディ条件'!$I$7="ベテラン",$C10=4),'設定・説明'!$B$13,0)-('キャディ条件'!$K$7+COUNTIF($F$4:F9,N$3))*'設定・説明'!$B$11-('キャディ条件'!$L$7+COUNTIFS($F$4:F9,N$3,$C$4:C9,4))*'設定・説明'!$B$12,-9999))</x:f>
      </x:c>
      <x:c r="O10" s="83" t="str">
        <x:f>IF(OR(O$3="",$A10=""),"",IF(AND(COUNTIF('キャディ条件'!$A$5:$A$14,O$3)=1,OR('キャディ条件'!$C$8="全日",AND('キャディ条件'!$C$8="土日",WEEKDAY($B10,2)&gt;=6),AND('キャディ条件'!$C$8="平日",WEEKDAY($B10,2)&lt;=5)),$C10&lt;='キャディ条件'!$G$8,OR('キャディ条件'!$J$8="全コース",'キャディ条件'!$J$8=$D10),COUNTIF($F$4:F9,O$3)&lt;'キャディ条件'!$D$8,OR(COUNTIF($F$4:F9,O$3)=0,'キャディ条件'!$E$8="はい"),COUNTIFS($F$4:F9,O$3,$I$4:I9,"&gt;"&amp;$B10)=0),100+IF('キャディ条件'!$H$8=$C10,'設定・説明'!$B$9,0)+IF(AND('キャディ条件'!$E$8="はい",'キャディ条件'!$F$8="はい",OR(COUNTIF($F$4:F9,O$3)=1,AND(COUNTIF($F$4:F9,O$3)=0,IF('キャディ条件'!$J$8="全コース",COUNTIFS('ラウンド入力'!$A$11:$A$19,"&lt;&gt;",'ラウンド入力'!$B$11:$B$19,"&gt;="&amp;($B10+$E10/1440+'設定・説明'!$B$7/1440),'ラウンド入力'!$C$11:$C$19,"&lt;="&amp;'キャディ条件'!$G$8),COUNTIFS('ラウンド入力'!$A$11:$A$19,"&lt;&gt;",'ラウンド入力'!$B$11:$B$19,"&gt;="&amp;($B10+$E10/1440+'設定・説明'!$B$7/1440),'ラウンド入力'!$C$11:$C$19,"&lt;="&amp;'キャディ条件'!$G$8,'ラウンド入力'!$D$11:$D$19,'キャディ条件'!$J$8))&gt;0))),'設定・説明'!$B$10,0)+IF(AND('キャディ条件'!$I$8="ベテラン",$C10=4),'設定・説明'!$B$13,0)-('キャディ条件'!$K$8+COUNTIF($F$4:F9,O$3))*'設定・説明'!$B$11-('キャディ条件'!$L$8+COUNTIFS($F$4:F9,O$3,$C$4:C9,4))*'設定・説明'!$B$12,-9999))</x:f>
      </x:c>
      <x:c r="P10" s="83" t="str">
        <x:f>IF(OR(P$3="",$A10=""),"",IF(AND(COUNTIF('キャディ条件'!$A$5:$A$14,P$3)=1,OR('キャディ条件'!$C$9="全日",AND('キャディ条件'!$C$9="土日",WEEKDAY($B10,2)&gt;=6),AND('キャディ条件'!$C$9="平日",WEEKDAY($B10,2)&lt;=5)),$C10&lt;='キャディ条件'!$G$9,OR('キャディ条件'!$J$9="全コース",'キャディ条件'!$J$9=$D10),COUNTIF($F$4:F9,P$3)&lt;'キャディ条件'!$D$9,OR(COUNTIF($F$4:F9,P$3)=0,'キャディ条件'!$E$9="はい"),COUNTIFS($F$4:F9,P$3,$I$4:I9,"&gt;"&amp;$B10)=0),100+IF('キャディ条件'!$H$9=$C10,'設定・説明'!$B$9,0)+IF(AND('キャディ条件'!$E$9="はい",'キャディ条件'!$F$9="はい",OR(COUNTIF($F$4:F9,P$3)=1,AND(COUNTIF($F$4:F9,P$3)=0,IF('キャディ条件'!$J$9="全コース",COUNTIFS('ラウンド入力'!$A$11:$A$19,"&lt;&gt;",'ラウンド入力'!$B$11:$B$19,"&gt;="&amp;($B10+$E10/1440+'設定・説明'!$B$7/1440),'ラウンド入力'!$C$11:$C$19,"&lt;="&amp;'キャディ条件'!$G$9),COUNTIFS('ラウンド入力'!$A$11:$A$19,"&lt;&gt;",'ラウンド入力'!$B$11:$B$19,"&gt;="&amp;($B10+$E10/1440+'設定・説明'!$B$7/1440),'ラウンド入力'!$C$11:$C$19,"&lt;="&amp;'キャディ条件'!$G$9,'ラウンド入力'!$D$11:$D$19,'キャディ条件'!$J$9))&gt;0))),'設定・説明'!$B$10,0)+IF(AND('キャディ条件'!$I$9="ベテラン",$C10=4),'設定・説明'!$B$13,0)-('キャディ条件'!$K$9+COUNTIF($F$4:F9,P$3))*'設定・説明'!$B$11-('キャディ条件'!$L$9+COUNTIFS($F$4:F9,P$3,$C$4:C9,4))*'設定・説明'!$B$12,-9999))</x:f>
      </x:c>
      <x:c r="Q10" s="83" t="str">
        <x:f>IF(OR(Q$3="",$A10=""),"",IF(AND(COUNTIF('キャディ条件'!$A$5:$A$14,Q$3)=1,OR('キャディ条件'!$C$10="全日",AND('キャディ条件'!$C$10="土日",WEEKDAY($B10,2)&gt;=6),AND('キャディ条件'!$C$10="平日",WEEKDAY($B10,2)&lt;=5)),$C10&lt;='キャディ条件'!$G$10,OR('キャディ条件'!$J$10="全コース",'キャディ条件'!$J$10=$D10),COUNTIF($F$4:F9,Q$3)&lt;'キャディ条件'!$D$10,OR(COUNTIF($F$4:F9,Q$3)=0,'キャディ条件'!$E$10="はい"),COUNTIFS($F$4:F9,Q$3,$I$4:I9,"&gt;"&amp;$B10)=0),100+IF('キャディ条件'!$H$10=$C10,'設定・説明'!$B$9,0)+IF(AND('キャディ条件'!$E$10="はい",'キャディ条件'!$F$10="はい",OR(COUNTIF($F$4:F9,Q$3)=1,AND(COUNTIF($F$4:F9,Q$3)=0,IF('キャディ条件'!$J$10="全コース",COUNTIFS('ラウンド入力'!$A$11:$A$19,"&lt;&gt;",'ラウンド入力'!$B$11:$B$19,"&gt;="&amp;($B10+$E10/1440+'設定・説明'!$B$7/1440),'ラウンド入力'!$C$11:$C$19,"&lt;="&amp;'キャディ条件'!$G$10),COUNTIFS('ラウンド入力'!$A$11:$A$19,"&lt;&gt;",'ラウンド入力'!$B$11:$B$19,"&gt;="&amp;($B10+$E10/1440+'設定・説明'!$B$7/1440),'ラウンド入力'!$C$11:$C$19,"&lt;="&amp;'キャディ条件'!$G$10,'ラウンド入力'!$D$11:$D$19,'キャディ条件'!$J$10))&gt;0))),'設定・説明'!$B$10,0)+IF(AND('キャディ条件'!$I$10="ベテラン",$C10=4),'設定・説明'!$B$13,0)-('キャディ条件'!$K$10+COUNTIF($F$4:F9,Q$3))*'設定・説明'!$B$11-('キャディ条件'!$L$10+COUNTIFS($F$4:F9,Q$3,$C$4:C9,4))*'設定・説明'!$B$12,-9999))</x:f>
      </x:c>
      <x:c r="R10" s="83" t="str">
        <x:f>IF(OR(R$3="",$A10=""),"",IF(AND(COUNTIF('キャディ条件'!$A$5:$A$14,R$3)=1,OR('キャディ条件'!$C$11="全日",AND('キャディ条件'!$C$11="土日",WEEKDAY($B10,2)&gt;=6),AND('キャディ条件'!$C$11="平日",WEEKDAY($B10,2)&lt;=5)),$C10&lt;='キャディ条件'!$G$11,OR('キャディ条件'!$J$11="全コース",'キャディ条件'!$J$11=$D10),COUNTIF($F$4:F9,R$3)&lt;'キャディ条件'!$D$11,OR(COUNTIF($F$4:F9,R$3)=0,'キャディ条件'!$E$11="はい"),COUNTIFS($F$4:F9,R$3,$I$4:I9,"&gt;"&amp;$B10)=0),100+IF('キャディ条件'!$H$11=$C10,'設定・説明'!$B$9,0)+IF(AND('キャディ条件'!$E$11="はい",'キャディ条件'!$F$11="はい",OR(COUNTIF($F$4:F9,R$3)=1,AND(COUNTIF($F$4:F9,R$3)=0,IF('キャディ条件'!$J$11="全コース",COUNTIFS('ラウンド入力'!$A$11:$A$19,"&lt;&gt;",'ラウンド入力'!$B$11:$B$19,"&gt;="&amp;($B10+$E10/1440+'設定・説明'!$B$7/1440),'ラウンド入力'!$C$11:$C$19,"&lt;="&amp;'キャディ条件'!$G$11),COUNTIFS('ラウンド入力'!$A$11:$A$19,"&lt;&gt;",'ラウンド入力'!$B$11:$B$19,"&gt;="&amp;($B10+$E10/1440+'設定・説明'!$B$7/1440),'ラウンド入力'!$C$11:$C$19,"&lt;="&amp;'キャディ条件'!$G$11,'ラウンド入力'!$D$11:$D$19,'キャディ条件'!$J$11))&gt;0))),'設定・説明'!$B$10,0)+IF(AND('キャディ条件'!$I$11="ベテラン",$C10=4),'設定・説明'!$B$13,0)-('キャディ条件'!$K$11+COUNTIF($F$4:F9,R$3))*'設定・説明'!$B$11-('キャディ条件'!$L$11+COUNTIFS($F$4:F9,R$3,$C$4:C9,4))*'設定・説明'!$B$12,-9999))</x:f>
      </x:c>
      <x:c r="S10" s="83" t="str">
        <x:f>IF(OR(S$3="",$A10=""),"",IF(AND(COUNTIF('キャディ条件'!$A$5:$A$14,S$3)=1,OR('キャディ条件'!$C$12="全日",AND('キャディ条件'!$C$12="土日",WEEKDAY($B10,2)&gt;=6),AND('キャディ条件'!$C$12="平日",WEEKDAY($B10,2)&lt;=5)),$C10&lt;='キャディ条件'!$G$12,OR('キャディ条件'!$J$12="全コース",'キャディ条件'!$J$12=$D10),COUNTIF($F$4:F9,S$3)&lt;'キャディ条件'!$D$12,OR(COUNTIF($F$4:F9,S$3)=0,'キャディ条件'!$E$12="はい"),COUNTIFS($F$4:F9,S$3,$I$4:I9,"&gt;"&amp;$B10)=0),100+IF('キャディ条件'!$H$12=$C10,'設定・説明'!$B$9,0)+IF(AND('キャディ条件'!$E$12="はい",'キャディ条件'!$F$12="はい",OR(COUNTIF($F$4:F9,S$3)=1,AND(COUNTIF($F$4:F9,S$3)=0,IF('キャディ条件'!$J$12="全コース",COUNTIFS('ラウンド入力'!$A$11:$A$19,"&lt;&gt;",'ラウンド入力'!$B$11:$B$19,"&gt;="&amp;($B10+$E10/1440+'設定・説明'!$B$7/1440),'ラウンド入力'!$C$11:$C$19,"&lt;="&amp;'キャディ条件'!$G$12),COUNTIFS('ラウンド入力'!$A$11:$A$19,"&lt;&gt;",'ラウンド入力'!$B$11:$B$19,"&gt;="&amp;($B10+$E10/1440+'設定・説明'!$B$7/1440),'ラウンド入力'!$C$11:$C$19,"&lt;="&amp;'キャディ条件'!$G$12,'ラウンド入力'!$D$11:$D$19,'キャディ条件'!$J$12))&gt;0))),'設定・説明'!$B$10,0)+IF(AND('キャディ条件'!$I$12="ベテラン",$C10=4),'設定・説明'!$B$13,0)-('キャディ条件'!$K$12+COUNTIF($F$4:F9,S$3))*'設定・説明'!$B$11-('キャディ条件'!$L$12+COUNTIFS($F$4:F9,S$3,$C$4:C9,4))*'設定・説明'!$B$12,-9999))</x:f>
      </x:c>
      <x:c r="T10" s="83" t="str">
        <x:f>IF(OR(T$3="",$A10=""),"",IF(AND(COUNTIF('キャディ条件'!$A$5:$A$14,T$3)=1,OR('キャディ条件'!$C$13="全日",AND('キャディ条件'!$C$13="土日",WEEKDAY($B10,2)&gt;=6),AND('キャディ条件'!$C$13="平日",WEEKDAY($B10,2)&lt;=5)),$C10&lt;='キャディ条件'!$G$13,OR('キャディ条件'!$J$13="全コース",'キャディ条件'!$J$13=$D10),COUNTIF($F$4:F9,T$3)&lt;'キャディ条件'!$D$13,OR(COUNTIF($F$4:F9,T$3)=0,'キャディ条件'!$E$13="はい"),COUNTIFS($F$4:F9,T$3,$I$4:I9,"&gt;"&amp;$B10)=0),100+IF('キャディ条件'!$H$13=$C10,'設定・説明'!$B$9,0)+IF(AND('キャディ条件'!$E$13="はい",'キャディ条件'!$F$13="はい",OR(COUNTIF($F$4:F9,T$3)=1,AND(COUNTIF($F$4:F9,T$3)=0,IF('キャディ条件'!$J$13="全コース",COUNTIFS('ラウンド入力'!$A$11:$A$19,"&lt;&gt;",'ラウンド入力'!$B$11:$B$19,"&gt;="&amp;($B10+$E10/1440+'設定・説明'!$B$7/1440),'ラウンド入力'!$C$11:$C$19,"&lt;="&amp;'キャディ条件'!$G$13),COUNTIFS('ラウンド入力'!$A$11:$A$19,"&lt;&gt;",'ラウンド入力'!$B$11:$B$19,"&gt;="&amp;($B10+$E10/1440+'設定・説明'!$B$7/1440),'ラウンド入力'!$C$11:$C$19,"&lt;="&amp;'キャディ条件'!$G$13,'ラウンド入力'!$D$11:$D$19,'キャディ条件'!$J$13))&gt;0))),'設定・説明'!$B$10,0)+IF(AND('キャディ条件'!$I$13="ベテラン",$C10=4),'設定・説明'!$B$13,0)-('キャディ条件'!$K$13+COUNTIF($F$4:F9,T$3))*'設定・説明'!$B$11-('キャディ条件'!$L$13+COUNTIFS($F$4:F9,T$3,$C$4:C9,4))*'設定・説明'!$B$12,-9999))</x:f>
      </x:c>
      <x:c r="U10" s="83" t="str">
        <x:f>IF(OR(U$3="",$A10=""),"",IF(AND(COUNTIF('キャディ条件'!$A$5:$A$14,U$3)=1,OR('キャディ条件'!$C$14="全日",AND('キャディ条件'!$C$14="土日",WEEKDAY($B10,2)&gt;=6),AND('キャディ条件'!$C$14="平日",WEEKDAY($B10,2)&lt;=5)),$C10&lt;='キャディ条件'!$G$14,OR('キャディ条件'!$J$14="全コース",'キャディ条件'!$J$14=$D10),COUNTIF($F$4:F9,U$3)&lt;'キャディ条件'!$D$14,OR(COUNTIF($F$4:F9,U$3)=0,'キャディ条件'!$E$14="はい"),COUNTIFS($F$4:F9,U$3,$I$4:I9,"&gt;"&amp;$B10)=0),100+IF('キャディ条件'!$H$14=$C10,'設定・説明'!$B$9,0)+IF(AND('キャディ条件'!$E$14="はい",'キャディ条件'!$F$14="はい",OR(COUNTIF($F$4:F9,U$3)=1,AND(COUNTIF($F$4:F9,U$3)=0,IF('キャディ条件'!$J$14="全コース",COUNTIFS('ラウンド入力'!$A$11:$A$19,"&lt;&gt;",'ラウンド入力'!$B$11:$B$19,"&gt;="&amp;($B10+$E10/1440+'設定・説明'!$B$7/1440),'ラウンド入力'!$C$11:$C$19,"&lt;="&amp;'キャディ条件'!$G$14),COUNTIFS('ラウンド入力'!$A$11:$A$19,"&lt;&gt;",'ラウンド入力'!$B$11:$B$19,"&gt;="&amp;($B10+$E10/1440+'設定・説明'!$B$7/1440),'ラウンド入力'!$C$11:$C$19,"&lt;="&amp;'キャディ条件'!$G$14,'ラウンド入力'!$D$11:$D$19,'キャディ条件'!$J$14))&gt;0))),'設定・説明'!$B$10,0)+IF(AND('キャディ条件'!$I$14="ベテラン",$C10=4),'設定・説明'!$B$13,0)-('キャディ条件'!$K$14+COUNTIF($F$4:F9,U$3))*'設定・説明'!$B$11-('キャディ条件'!$L$14+COUNTIFS($F$4:F9,U$3,$C$4:C9,4))*'設定・説明'!$B$12,-9999))</x:f>
      </x:c>
      <x:c r="V10" s="74" t="str">
        <x:f>IF($A10="","",IF($J10="人数希望一致",1,0))</x:f>
      </x:c>
    </x:row>
    <x:row r="11">
      <x:c r="A11" s="73" t="str">
        <x:f>IF('ラウンド入力'!A11="","",'ラウンド入力'!A11)</x:f>
      </x:c>
      <x:c r="B11" s="79" t="str">
        <x:f>IF('ラウンド入力'!A11="","",'ラウンド入力'!B11)</x:f>
      </x:c>
      <x:c r="C11" s="74" t="str">
        <x:f>IF('ラウンド入力'!A11="","",'ラウンド入力'!C11)</x:f>
      </x:c>
      <x:c r="D11" s="74" t="str">
        <x:f>IF('ラウンド入力'!A11="","",'ラウンド入力'!D11)</x:f>
      </x:c>
      <x:c r="E11" s="74" t="str">
        <x:f>IF('ラウンド入力'!A11="","",IF('ラウンド入力'!E11="",'設定・説明'!$B$6,'ラウンド入力'!E11))</x:f>
      </x:c>
      <x:c r="F11" s="74" t="str">
        <x:f>IF($A11="","",IF(COUNTIF(L11:U11,"&gt;-9999")=0,"未割当",INDEX($L$3:$U$3,1,MATCH(MAX(L11:U11),L11:U11,0))))</x:f>
      </x:c>
      <x:c r="G11" s="74" t="str">
        <x:f>IF(OR($F11="",$F11="未割当"),"",INDEX('キャディ条件'!$B$5:$B$14,MATCH($F11,'キャディ条件'!$A$5:$A$14,0)))</x:f>
      </x:c>
      <x:c r="H11" s="81" t="str">
        <x:f>IF($A11="","",$B11+$E11/1440)</x:f>
      </x:c>
      <x:c r="I11" s="81" t="str">
        <x:f>IF($A11="","",$H11+'設定・説明'!$B$7/1440)</x:f>
      </x:c>
      <x:c r="J11" s="85" t="str">
        <x:f>IF($A11="","",IF($F11="未割当","Hard条件を満たす候補なし",IF(INDEX('キャディ条件'!$H$5:$H$14,MATCH($F11,'キャディ条件'!$A$5:$A$14,0))=$C11,"人数希望一致",IF(AND(INDEX('キャディ条件'!$F$5:$F$14,MATCH($F11,'キャディ条件'!$A$5:$A$14,0))="はい",COUNTIF($F$5:$F$19,$F11)=2),"2ラウンド希望を考慮","公平性・残容量"))))</x:f>
      </x:c>
      <x:c r="K11" s="85" t="str">
        <x:f>IF($A11="","",IF($F11="未割当","要手動調整",""))</x:f>
      </x:c>
      <x:c r="L11" s="83" t="str">
        <x:f>IF(OR(L$3="",$A11=""),"",IF(AND(COUNTIF('キャディ条件'!$A$5:$A$14,L$3)=1,OR('キャディ条件'!$C$5="全日",AND('キャディ条件'!$C$5="土日",WEEKDAY($B11,2)&gt;=6),AND('キャディ条件'!$C$5="平日",WEEKDAY($B11,2)&lt;=5)),$C11&lt;='キャディ条件'!$G$5,OR('キャディ条件'!$J$5="全コース",'キャディ条件'!$J$5=$D11),COUNTIF($F$4:F10,L$3)&lt;'キャディ条件'!$D$5,OR(COUNTIF($F$4:F10,L$3)=0,'キャディ条件'!$E$5="はい"),COUNTIFS($F$4:F10,L$3,$I$4:I10,"&gt;"&amp;$B11)=0),100+IF('キャディ条件'!$H$5=$C11,'設定・説明'!$B$9,0)+IF(AND('キャディ条件'!$E$5="はい",'キャディ条件'!$F$5="はい",OR(COUNTIF($F$4:F10,L$3)=1,AND(COUNTIF($F$4:F10,L$3)=0,IF('キャディ条件'!$J$5="全コース",COUNTIFS('ラウンド入力'!$A$12:$A$19,"&lt;&gt;",'ラウンド入力'!$B$12:$B$19,"&gt;="&amp;($B11+$E11/1440+'設定・説明'!$B$7/1440),'ラウンド入力'!$C$12:$C$19,"&lt;="&amp;'キャディ条件'!$G$5),COUNTIFS('ラウンド入力'!$A$12:$A$19,"&lt;&gt;",'ラウンド入力'!$B$12:$B$19,"&gt;="&amp;($B11+$E11/1440+'設定・説明'!$B$7/1440),'ラウンド入力'!$C$12:$C$19,"&lt;="&amp;'キャディ条件'!$G$5,'ラウンド入力'!$D$12:$D$19,'キャディ条件'!$J$5))&gt;0))),'設定・説明'!$B$10,0)+IF(AND('キャディ条件'!$I$5="ベテラン",$C11=4),'設定・説明'!$B$13,0)-('キャディ条件'!$K$5+COUNTIF($F$4:F10,L$3))*'設定・説明'!$B$11-('キャディ条件'!$L$5+COUNTIFS($F$4:F10,L$3,$C$4:C10,4))*'設定・説明'!$B$12,-9999))</x:f>
      </x:c>
      <x:c r="M11" s="83" t="str">
        <x:f>IF(OR(M$3="",$A11=""),"",IF(AND(COUNTIF('キャディ条件'!$A$5:$A$14,M$3)=1,OR('キャディ条件'!$C$6="全日",AND('キャディ条件'!$C$6="土日",WEEKDAY($B11,2)&gt;=6),AND('キャディ条件'!$C$6="平日",WEEKDAY($B11,2)&lt;=5)),$C11&lt;='キャディ条件'!$G$6,OR('キャディ条件'!$J$6="全コース",'キャディ条件'!$J$6=$D11),COUNTIF($F$4:F10,M$3)&lt;'キャディ条件'!$D$6,OR(COUNTIF($F$4:F10,M$3)=0,'キャディ条件'!$E$6="はい"),COUNTIFS($F$4:F10,M$3,$I$4:I10,"&gt;"&amp;$B11)=0),100+IF('キャディ条件'!$H$6=$C11,'設定・説明'!$B$9,0)+IF(AND('キャディ条件'!$E$6="はい",'キャディ条件'!$F$6="はい",OR(COUNTIF($F$4:F10,M$3)=1,AND(COUNTIF($F$4:F10,M$3)=0,IF('キャディ条件'!$J$6="全コース",COUNTIFS('ラウンド入力'!$A$12:$A$19,"&lt;&gt;",'ラウンド入力'!$B$12:$B$19,"&gt;="&amp;($B11+$E11/1440+'設定・説明'!$B$7/1440),'ラウンド入力'!$C$12:$C$19,"&lt;="&amp;'キャディ条件'!$G$6),COUNTIFS('ラウンド入力'!$A$12:$A$19,"&lt;&gt;",'ラウンド入力'!$B$12:$B$19,"&gt;="&amp;($B11+$E11/1440+'設定・説明'!$B$7/1440),'ラウンド入力'!$C$12:$C$19,"&lt;="&amp;'キャディ条件'!$G$6,'ラウンド入力'!$D$12:$D$19,'キャディ条件'!$J$6))&gt;0))),'設定・説明'!$B$10,0)+IF(AND('キャディ条件'!$I$6="ベテラン",$C11=4),'設定・説明'!$B$13,0)-('キャディ条件'!$K$6+COUNTIF($F$4:F10,M$3))*'設定・説明'!$B$11-('キャディ条件'!$L$6+COUNTIFS($F$4:F10,M$3,$C$4:C10,4))*'設定・説明'!$B$12,-9999))</x:f>
      </x:c>
      <x:c r="N11" s="83" t="str">
        <x:f>IF(OR(N$3="",$A11=""),"",IF(AND(COUNTIF('キャディ条件'!$A$5:$A$14,N$3)=1,OR('キャディ条件'!$C$7="全日",AND('キャディ条件'!$C$7="土日",WEEKDAY($B11,2)&gt;=6),AND('キャディ条件'!$C$7="平日",WEEKDAY($B11,2)&lt;=5)),$C11&lt;='キャディ条件'!$G$7,OR('キャディ条件'!$J$7="全コース",'キャディ条件'!$J$7=$D11),COUNTIF($F$4:F10,N$3)&lt;'キャディ条件'!$D$7,OR(COUNTIF($F$4:F10,N$3)=0,'キャディ条件'!$E$7="はい"),COUNTIFS($F$4:F10,N$3,$I$4:I10,"&gt;"&amp;$B11)=0),100+IF('キャディ条件'!$H$7=$C11,'設定・説明'!$B$9,0)+IF(AND('キャディ条件'!$E$7="はい",'キャディ条件'!$F$7="はい",OR(COUNTIF($F$4:F10,N$3)=1,AND(COUNTIF($F$4:F10,N$3)=0,IF('キャディ条件'!$J$7="全コース",COUNTIFS('ラウンド入力'!$A$12:$A$19,"&lt;&gt;",'ラウンド入力'!$B$12:$B$19,"&gt;="&amp;($B11+$E11/1440+'設定・説明'!$B$7/1440),'ラウンド入力'!$C$12:$C$19,"&lt;="&amp;'キャディ条件'!$G$7),COUNTIFS('ラウンド入力'!$A$12:$A$19,"&lt;&gt;",'ラウンド入力'!$B$12:$B$19,"&gt;="&amp;($B11+$E11/1440+'設定・説明'!$B$7/1440),'ラウンド入力'!$C$12:$C$19,"&lt;="&amp;'キャディ条件'!$G$7,'ラウンド入力'!$D$12:$D$19,'キャディ条件'!$J$7))&gt;0))),'設定・説明'!$B$10,0)+IF(AND('キャディ条件'!$I$7="ベテラン",$C11=4),'設定・説明'!$B$13,0)-('キャディ条件'!$K$7+COUNTIF($F$4:F10,N$3))*'設定・説明'!$B$11-('キャディ条件'!$L$7+COUNTIFS($F$4:F10,N$3,$C$4:C10,4))*'設定・説明'!$B$12,-9999))</x:f>
      </x:c>
      <x:c r="O11" s="83" t="str">
        <x:f>IF(OR(O$3="",$A11=""),"",IF(AND(COUNTIF('キャディ条件'!$A$5:$A$14,O$3)=1,OR('キャディ条件'!$C$8="全日",AND('キャディ条件'!$C$8="土日",WEEKDAY($B11,2)&gt;=6),AND('キャディ条件'!$C$8="平日",WEEKDAY($B11,2)&lt;=5)),$C11&lt;='キャディ条件'!$G$8,OR('キャディ条件'!$J$8="全コース",'キャディ条件'!$J$8=$D11),COUNTIF($F$4:F10,O$3)&lt;'キャディ条件'!$D$8,OR(COUNTIF($F$4:F10,O$3)=0,'キャディ条件'!$E$8="はい"),COUNTIFS($F$4:F10,O$3,$I$4:I10,"&gt;"&amp;$B11)=0),100+IF('キャディ条件'!$H$8=$C11,'設定・説明'!$B$9,0)+IF(AND('キャディ条件'!$E$8="はい",'キャディ条件'!$F$8="はい",OR(COUNTIF($F$4:F10,O$3)=1,AND(COUNTIF($F$4:F10,O$3)=0,IF('キャディ条件'!$J$8="全コース",COUNTIFS('ラウンド入力'!$A$12:$A$19,"&lt;&gt;",'ラウンド入力'!$B$12:$B$19,"&gt;="&amp;($B11+$E11/1440+'設定・説明'!$B$7/1440),'ラウンド入力'!$C$12:$C$19,"&lt;="&amp;'キャディ条件'!$G$8),COUNTIFS('ラウンド入力'!$A$12:$A$19,"&lt;&gt;",'ラウンド入力'!$B$12:$B$19,"&gt;="&amp;($B11+$E11/1440+'設定・説明'!$B$7/1440),'ラウンド入力'!$C$12:$C$19,"&lt;="&amp;'キャディ条件'!$G$8,'ラウンド入力'!$D$12:$D$19,'キャディ条件'!$J$8))&gt;0))),'設定・説明'!$B$10,0)+IF(AND('キャディ条件'!$I$8="ベテラン",$C11=4),'設定・説明'!$B$13,0)-('キャディ条件'!$K$8+COUNTIF($F$4:F10,O$3))*'設定・説明'!$B$11-('キャディ条件'!$L$8+COUNTIFS($F$4:F10,O$3,$C$4:C10,4))*'設定・説明'!$B$12,-9999))</x:f>
      </x:c>
      <x:c r="P11" s="83" t="str">
        <x:f>IF(OR(P$3="",$A11=""),"",IF(AND(COUNTIF('キャディ条件'!$A$5:$A$14,P$3)=1,OR('キャディ条件'!$C$9="全日",AND('キャディ条件'!$C$9="土日",WEEKDAY($B11,2)&gt;=6),AND('キャディ条件'!$C$9="平日",WEEKDAY($B11,2)&lt;=5)),$C11&lt;='キャディ条件'!$G$9,OR('キャディ条件'!$J$9="全コース",'キャディ条件'!$J$9=$D11),COUNTIF($F$4:F10,P$3)&lt;'キャディ条件'!$D$9,OR(COUNTIF($F$4:F10,P$3)=0,'キャディ条件'!$E$9="はい"),COUNTIFS($F$4:F10,P$3,$I$4:I10,"&gt;"&amp;$B11)=0),100+IF('キャディ条件'!$H$9=$C11,'設定・説明'!$B$9,0)+IF(AND('キャディ条件'!$E$9="はい",'キャディ条件'!$F$9="はい",OR(COUNTIF($F$4:F10,P$3)=1,AND(COUNTIF($F$4:F10,P$3)=0,IF('キャディ条件'!$J$9="全コース",COUNTIFS('ラウンド入力'!$A$12:$A$19,"&lt;&gt;",'ラウンド入力'!$B$12:$B$19,"&gt;="&amp;($B11+$E11/1440+'設定・説明'!$B$7/1440),'ラウンド入力'!$C$12:$C$19,"&lt;="&amp;'キャディ条件'!$G$9),COUNTIFS('ラウンド入力'!$A$12:$A$19,"&lt;&gt;",'ラウンド入力'!$B$12:$B$19,"&gt;="&amp;($B11+$E11/1440+'設定・説明'!$B$7/1440),'ラウンド入力'!$C$12:$C$19,"&lt;="&amp;'キャディ条件'!$G$9,'ラウンド入力'!$D$12:$D$19,'キャディ条件'!$J$9))&gt;0))),'設定・説明'!$B$10,0)+IF(AND('キャディ条件'!$I$9="ベテラン",$C11=4),'設定・説明'!$B$13,0)-('キャディ条件'!$K$9+COUNTIF($F$4:F10,P$3))*'設定・説明'!$B$11-('キャディ条件'!$L$9+COUNTIFS($F$4:F10,P$3,$C$4:C10,4))*'設定・説明'!$B$12,-9999))</x:f>
      </x:c>
      <x:c r="Q11" s="83" t="str">
        <x:f>IF(OR(Q$3="",$A11=""),"",IF(AND(COUNTIF('キャディ条件'!$A$5:$A$14,Q$3)=1,OR('キャディ条件'!$C$10="全日",AND('キャディ条件'!$C$10="土日",WEEKDAY($B11,2)&gt;=6),AND('キャディ条件'!$C$10="平日",WEEKDAY($B11,2)&lt;=5)),$C11&lt;='キャディ条件'!$G$10,OR('キャディ条件'!$J$10="全コース",'キャディ条件'!$J$10=$D11),COUNTIF($F$4:F10,Q$3)&lt;'キャディ条件'!$D$10,OR(COUNTIF($F$4:F10,Q$3)=0,'キャディ条件'!$E$10="はい"),COUNTIFS($F$4:F10,Q$3,$I$4:I10,"&gt;"&amp;$B11)=0),100+IF('キャディ条件'!$H$10=$C11,'設定・説明'!$B$9,0)+IF(AND('キャディ条件'!$E$10="はい",'キャディ条件'!$F$10="はい",OR(COUNTIF($F$4:F10,Q$3)=1,AND(COUNTIF($F$4:F10,Q$3)=0,IF('キャディ条件'!$J$10="全コース",COUNTIFS('ラウンド入力'!$A$12:$A$19,"&lt;&gt;",'ラウンド入力'!$B$12:$B$19,"&gt;="&amp;($B11+$E11/1440+'設定・説明'!$B$7/1440),'ラウンド入力'!$C$12:$C$19,"&lt;="&amp;'キャディ条件'!$G$10),COUNTIFS('ラウンド入力'!$A$12:$A$19,"&lt;&gt;",'ラウンド入力'!$B$12:$B$19,"&gt;="&amp;($B11+$E11/1440+'設定・説明'!$B$7/1440),'ラウンド入力'!$C$12:$C$19,"&lt;="&amp;'キャディ条件'!$G$10,'ラウンド入力'!$D$12:$D$19,'キャディ条件'!$J$10))&gt;0))),'設定・説明'!$B$10,0)+IF(AND('キャディ条件'!$I$10="ベテラン",$C11=4),'設定・説明'!$B$13,0)-('キャディ条件'!$K$10+COUNTIF($F$4:F10,Q$3))*'設定・説明'!$B$11-('キャディ条件'!$L$10+COUNTIFS($F$4:F10,Q$3,$C$4:C10,4))*'設定・説明'!$B$12,-9999))</x:f>
      </x:c>
      <x:c r="R11" s="83" t="str">
        <x:f>IF(OR(R$3="",$A11=""),"",IF(AND(COUNTIF('キャディ条件'!$A$5:$A$14,R$3)=1,OR('キャディ条件'!$C$11="全日",AND('キャディ条件'!$C$11="土日",WEEKDAY($B11,2)&gt;=6),AND('キャディ条件'!$C$11="平日",WEEKDAY($B11,2)&lt;=5)),$C11&lt;='キャディ条件'!$G$11,OR('キャディ条件'!$J$11="全コース",'キャディ条件'!$J$11=$D11),COUNTIF($F$4:F10,R$3)&lt;'キャディ条件'!$D$11,OR(COUNTIF($F$4:F10,R$3)=0,'キャディ条件'!$E$11="はい"),COUNTIFS($F$4:F10,R$3,$I$4:I10,"&gt;"&amp;$B11)=0),100+IF('キャディ条件'!$H$11=$C11,'設定・説明'!$B$9,0)+IF(AND('キャディ条件'!$E$11="はい",'キャディ条件'!$F$11="はい",OR(COUNTIF($F$4:F10,R$3)=1,AND(COUNTIF($F$4:F10,R$3)=0,IF('キャディ条件'!$J$11="全コース",COUNTIFS('ラウンド入力'!$A$12:$A$19,"&lt;&gt;",'ラウンド入力'!$B$12:$B$19,"&gt;="&amp;($B11+$E11/1440+'設定・説明'!$B$7/1440),'ラウンド入力'!$C$12:$C$19,"&lt;="&amp;'キャディ条件'!$G$11),COUNTIFS('ラウンド入力'!$A$12:$A$19,"&lt;&gt;",'ラウンド入力'!$B$12:$B$19,"&gt;="&amp;($B11+$E11/1440+'設定・説明'!$B$7/1440),'ラウンド入力'!$C$12:$C$19,"&lt;="&amp;'キャディ条件'!$G$11,'ラウンド入力'!$D$12:$D$19,'キャディ条件'!$J$11))&gt;0))),'設定・説明'!$B$10,0)+IF(AND('キャディ条件'!$I$11="ベテラン",$C11=4),'設定・説明'!$B$13,0)-('キャディ条件'!$K$11+COUNTIF($F$4:F10,R$3))*'設定・説明'!$B$11-('キャディ条件'!$L$11+COUNTIFS($F$4:F10,R$3,$C$4:C10,4))*'設定・説明'!$B$12,-9999))</x:f>
      </x:c>
      <x:c r="S11" s="83" t="str">
        <x:f>IF(OR(S$3="",$A11=""),"",IF(AND(COUNTIF('キャディ条件'!$A$5:$A$14,S$3)=1,OR('キャディ条件'!$C$12="全日",AND('キャディ条件'!$C$12="土日",WEEKDAY($B11,2)&gt;=6),AND('キャディ条件'!$C$12="平日",WEEKDAY($B11,2)&lt;=5)),$C11&lt;='キャディ条件'!$G$12,OR('キャディ条件'!$J$12="全コース",'キャディ条件'!$J$12=$D11),COUNTIF($F$4:F10,S$3)&lt;'キャディ条件'!$D$12,OR(COUNTIF($F$4:F10,S$3)=0,'キャディ条件'!$E$12="はい"),COUNTIFS($F$4:F10,S$3,$I$4:I10,"&gt;"&amp;$B11)=0),100+IF('キャディ条件'!$H$12=$C11,'設定・説明'!$B$9,0)+IF(AND('キャディ条件'!$E$12="はい",'キャディ条件'!$F$12="はい",OR(COUNTIF($F$4:F10,S$3)=1,AND(COUNTIF($F$4:F10,S$3)=0,IF('キャディ条件'!$J$12="全コース",COUNTIFS('ラウンド入力'!$A$12:$A$19,"&lt;&gt;",'ラウンド入力'!$B$12:$B$19,"&gt;="&amp;($B11+$E11/1440+'設定・説明'!$B$7/1440),'ラウンド入力'!$C$12:$C$19,"&lt;="&amp;'キャディ条件'!$G$12),COUNTIFS('ラウンド入力'!$A$12:$A$19,"&lt;&gt;",'ラウンド入力'!$B$12:$B$19,"&gt;="&amp;($B11+$E11/1440+'設定・説明'!$B$7/1440),'ラウンド入力'!$C$12:$C$19,"&lt;="&amp;'キャディ条件'!$G$12,'ラウンド入力'!$D$12:$D$19,'キャディ条件'!$J$12))&gt;0))),'設定・説明'!$B$10,0)+IF(AND('キャディ条件'!$I$12="ベテラン",$C11=4),'設定・説明'!$B$13,0)-('キャディ条件'!$K$12+COUNTIF($F$4:F10,S$3))*'設定・説明'!$B$11-('キャディ条件'!$L$12+COUNTIFS($F$4:F10,S$3,$C$4:C10,4))*'設定・説明'!$B$12,-9999))</x:f>
      </x:c>
      <x:c r="T11" s="83" t="str">
        <x:f>IF(OR(T$3="",$A11=""),"",IF(AND(COUNTIF('キャディ条件'!$A$5:$A$14,T$3)=1,OR('キャディ条件'!$C$13="全日",AND('キャディ条件'!$C$13="土日",WEEKDAY($B11,2)&gt;=6),AND('キャディ条件'!$C$13="平日",WEEKDAY($B11,2)&lt;=5)),$C11&lt;='キャディ条件'!$G$13,OR('キャディ条件'!$J$13="全コース",'キャディ条件'!$J$13=$D11),COUNTIF($F$4:F10,T$3)&lt;'キャディ条件'!$D$13,OR(COUNTIF($F$4:F10,T$3)=0,'キャディ条件'!$E$13="はい"),COUNTIFS($F$4:F10,T$3,$I$4:I10,"&gt;"&amp;$B11)=0),100+IF('キャディ条件'!$H$13=$C11,'設定・説明'!$B$9,0)+IF(AND('キャディ条件'!$E$13="はい",'キャディ条件'!$F$13="はい",OR(COUNTIF($F$4:F10,T$3)=1,AND(COUNTIF($F$4:F10,T$3)=0,IF('キャディ条件'!$J$13="全コース",COUNTIFS('ラウンド入力'!$A$12:$A$19,"&lt;&gt;",'ラウンド入力'!$B$12:$B$19,"&gt;="&amp;($B11+$E11/1440+'設定・説明'!$B$7/1440),'ラウンド入力'!$C$12:$C$19,"&lt;="&amp;'キャディ条件'!$G$13),COUNTIFS('ラウンド入力'!$A$12:$A$19,"&lt;&gt;",'ラウンド入力'!$B$12:$B$19,"&gt;="&amp;($B11+$E11/1440+'設定・説明'!$B$7/1440),'ラウンド入力'!$C$12:$C$19,"&lt;="&amp;'キャディ条件'!$G$13,'ラウンド入力'!$D$12:$D$19,'キャディ条件'!$J$13))&gt;0))),'設定・説明'!$B$10,0)+IF(AND('キャディ条件'!$I$13="ベテラン",$C11=4),'設定・説明'!$B$13,0)-('キャディ条件'!$K$13+COUNTIF($F$4:F10,T$3))*'設定・説明'!$B$11-('キャディ条件'!$L$13+COUNTIFS($F$4:F10,T$3,$C$4:C10,4))*'設定・説明'!$B$12,-9999))</x:f>
      </x:c>
      <x:c r="U11" s="83" t="str">
        <x:f>IF(OR(U$3="",$A11=""),"",IF(AND(COUNTIF('キャディ条件'!$A$5:$A$14,U$3)=1,OR('キャディ条件'!$C$14="全日",AND('キャディ条件'!$C$14="土日",WEEKDAY($B11,2)&gt;=6),AND('キャディ条件'!$C$14="平日",WEEKDAY($B11,2)&lt;=5)),$C11&lt;='キャディ条件'!$G$14,OR('キャディ条件'!$J$14="全コース",'キャディ条件'!$J$14=$D11),COUNTIF($F$4:F10,U$3)&lt;'キャディ条件'!$D$14,OR(COUNTIF($F$4:F10,U$3)=0,'キャディ条件'!$E$14="はい"),COUNTIFS($F$4:F10,U$3,$I$4:I10,"&gt;"&amp;$B11)=0),100+IF('キャディ条件'!$H$14=$C11,'設定・説明'!$B$9,0)+IF(AND('キャディ条件'!$E$14="はい",'キャディ条件'!$F$14="はい",OR(COUNTIF($F$4:F10,U$3)=1,AND(COUNTIF($F$4:F10,U$3)=0,IF('キャディ条件'!$J$14="全コース",COUNTIFS('ラウンド入力'!$A$12:$A$19,"&lt;&gt;",'ラウンド入力'!$B$12:$B$19,"&gt;="&amp;($B11+$E11/1440+'設定・説明'!$B$7/1440),'ラウンド入力'!$C$12:$C$19,"&lt;="&amp;'キャディ条件'!$G$14),COUNTIFS('ラウンド入力'!$A$12:$A$19,"&lt;&gt;",'ラウンド入力'!$B$12:$B$19,"&gt;="&amp;($B11+$E11/1440+'設定・説明'!$B$7/1440),'ラウンド入力'!$C$12:$C$19,"&lt;="&amp;'キャディ条件'!$G$14,'ラウンド入力'!$D$12:$D$19,'キャディ条件'!$J$14))&gt;0))),'設定・説明'!$B$10,0)+IF(AND('キャディ条件'!$I$14="ベテラン",$C11=4),'設定・説明'!$B$13,0)-('キャディ条件'!$K$14+COUNTIF($F$4:F10,U$3))*'設定・説明'!$B$11-('キャディ条件'!$L$14+COUNTIFS($F$4:F10,U$3,$C$4:C10,4))*'設定・説明'!$B$12,-9999))</x:f>
      </x:c>
      <x:c r="V11" s="74" t="str">
        <x:f>IF($A11="","",IF($J11="人数希望一致",1,0))</x:f>
      </x:c>
    </x:row>
    <x:row r="12">
      <x:c r="A12" s="73" t="str">
        <x:f>IF('ラウンド入力'!A12="","",'ラウンド入力'!A12)</x:f>
      </x:c>
      <x:c r="B12" s="79" t="str">
        <x:f>IF('ラウンド入力'!A12="","",'ラウンド入力'!B12)</x:f>
      </x:c>
      <x:c r="C12" s="74" t="str">
        <x:f>IF('ラウンド入力'!A12="","",'ラウンド入力'!C12)</x:f>
      </x:c>
      <x:c r="D12" s="74" t="str">
        <x:f>IF('ラウンド入力'!A12="","",'ラウンド入力'!D12)</x:f>
      </x:c>
      <x:c r="E12" s="74" t="str">
        <x:f>IF('ラウンド入力'!A12="","",IF('ラウンド入力'!E12="",'設定・説明'!$B$6,'ラウンド入力'!E12))</x:f>
      </x:c>
      <x:c r="F12" s="74" t="str">
        <x:f>IF($A12="","",IF(COUNTIF(L12:U12,"&gt;-9999")=0,"未割当",INDEX($L$3:$U$3,1,MATCH(MAX(L12:U12),L12:U12,0))))</x:f>
      </x:c>
      <x:c r="G12" s="74" t="str">
        <x:f>IF(OR($F12="",$F12="未割当"),"",INDEX('キャディ条件'!$B$5:$B$14,MATCH($F12,'キャディ条件'!$A$5:$A$14,0)))</x:f>
      </x:c>
      <x:c r="H12" s="81" t="str">
        <x:f>IF($A12="","",$B12+$E12/1440)</x:f>
      </x:c>
      <x:c r="I12" s="81" t="str">
        <x:f>IF($A12="","",$H12+'設定・説明'!$B$7/1440)</x:f>
      </x:c>
      <x:c r="J12" s="85" t="str">
        <x:f>IF($A12="","",IF($F12="未割当","Hard条件を満たす候補なし",IF(INDEX('キャディ条件'!$H$5:$H$14,MATCH($F12,'キャディ条件'!$A$5:$A$14,0))=$C12,"人数希望一致",IF(AND(INDEX('キャディ条件'!$F$5:$F$14,MATCH($F12,'キャディ条件'!$A$5:$A$14,0))="はい",COUNTIF($F$5:$F$19,$F12)=2),"2ラウンド希望を考慮","公平性・残容量"))))</x:f>
      </x:c>
      <x:c r="K12" s="85" t="str">
        <x:f>IF($A12="","",IF($F12="未割当","要手動調整",""))</x:f>
      </x:c>
      <x:c r="L12" s="83" t="str">
        <x:f>IF(OR(L$3="",$A12=""),"",IF(AND(COUNTIF('キャディ条件'!$A$5:$A$14,L$3)=1,OR('キャディ条件'!$C$5="全日",AND('キャディ条件'!$C$5="土日",WEEKDAY($B12,2)&gt;=6),AND('キャディ条件'!$C$5="平日",WEEKDAY($B12,2)&lt;=5)),$C12&lt;='キャディ条件'!$G$5,OR('キャディ条件'!$J$5="全コース",'キャディ条件'!$J$5=$D12),COUNTIF($F$4:F11,L$3)&lt;'キャディ条件'!$D$5,OR(COUNTIF($F$4:F11,L$3)=0,'キャディ条件'!$E$5="はい"),COUNTIFS($F$4:F11,L$3,$I$4:I11,"&gt;"&amp;$B12)=0),100+IF('キャディ条件'!$H$5=$C12,'設定・説明'!$B$9,0)+IF(AND('キャディ条件'!$E$5="はい",'キャディ条件'!$F$5="はい",OR(COUNTIF($F$4:F11,L$3)=1,AND(COUNTIF($F$4:F11,L$3)=0,IF('キャディ条件'!$J$5="全コース",COUNTIFS('ラウンド入力'!$A$13:$A$19,"&lt;&gt;",'ラウンド入力'!$B$13:$B$19,"&gt;="&amp;($B12+$E12/1440+'設定・説明'!$B$7/1440),'ラウンド入力'!$C$13:$C$19,"&lt;="&amp;'キャディ条件'!$G$5),COUNTIFS('ラウンド入力'!$A$13:$A$19,"&lt;&gt;",'ラウンド入力'!$B$13:$B$19,"&gt;="&amp;($B12+$E12/1440+'設定・説明'!$B$7/1440),'ラウンド入力'!$C$13:$C$19,"&lt;="&amp;'キャディ条件'!$G$5,'ラウンド入力'!$D$13:$D$19,'キャディ条件'!$J$5))&gt;0))),'設定・説明'!$B$10,0)+IF(AND('キャディ条件'!$I$5="ベテラン",$C12=4),'設定・説明'!$B$13,0)-('キャディ条件'!$K$5+COUNTIF($F$4:F11,L$3))*'設定・説明'!$B$11-('キャディ条件'!$L$5+COUNTIFS($F$4:F11,L$3,$C$4:C11,4))*'設定・説明'!$B$12,-9999))</x:f>
      </x:c>
      <x:c r="M12" s="83" t="str">
        <x:f>IF(OR(M$3="",$A12=""),"",IF(AND(COUNTIF('キャディ条件'!$A$5:$A$14,M$3)=1,OR('キャディ条件'!$C$6="全日",AND('キャディ条件'!$C$6="土日",WEEKDAY($B12,2)&gt;=6),AND('キャディ条件'!$C$6="平日",WEEKDAY($B12,2)&lt;=5)),$C12&lt;='キャディ条件'!$G$6,OR('キャディ条件'!$J$6="全コース",'キャディ条件'!$J$6=$D12),COUNTIF($F$4:F11,M$3)&lt;'キャディ条件'!$D$6,OR(COUNTIF($F$4:F11,M$3)=0,'キャディ条件'!$E$6="はい"),COUNTIFS($F$4:F11,M$3,$I$4:I11,"&gt;"&amp;$B12)=0),100+IF('キャディ条件'!$H$6=$C12,'設定・説明'!$B$9,0)+IF(AND('キャディ条件'!$E$6="はい",'キャディ条件'!$F$6="はい",OR(COUNTIF($F$4:F11,M$3)=1,AND(COUNTIF($F$4:F11,M$3)=0,IF('キャディ条件'!$J$6="全コース",COUNTIFS('ラウンド入力'!$A$13:$A$19,"&lt;&gt;",'ラウンド入力'!$B$13:$B$19,"&gt;="&amp;($B12+$E12/1440+'設定・説明'!$B$7/1440),'ラウンド入力'!$C$13:$C$19,"&lt;="&amp;'キャディ条件'!$G$6),COUNTIFS('ラウンド入力'!$A$13:$A$19,"&lt;&gt;",'ラウンド入力'!$B$13:$B$19,"&gt;="&amp;($B12+$E12/1440+'設定・説明'!$B$7/1440),'ラウンド入力'!$C$13:$C$19,"&lt;="&amp;'キャディ条件'!$G$6,'ラウンド入力'!$D$13:$D$19,'キャディ条件'!$J$6))&gt;0))),'設定・説明'!$B$10,0)+IF(AND('キャディ条件'!$I$6="ベテラン",$C12=4),'設定・説明'!$B$13,0)-('キャディ条件'!$K$6+COUNTIF($F$4:F11,M$3))*'設定・説明'!$B$11-('キャディ条件'!$L$6+COUNTIFS($F$4:F11,M$3,$C$4:C11,4))*'設定・説明'!$B$12,-9999))</x:f>
      </x:c>
      <x:c r="N12" s="83" t="str">
        <x:f>IF(OR(N$3="",$A12=""),"",IF(AND(COUNTIF('キャディ条件'!$A$5:$A$14,N$3)=1,OR('キャディ条件'!$C$7="全日",AND('キャディ条件'!$C$7="土日",WEEKDAY($B12,2)&gt;=6),AND('キャディ条件'!$C$7="平日",WEEKDAY($B12,2)&lt;=5)),$C12&lt;='キャディ条件'!$G$7,OR('キャディ条件'!$J$7="全コース",'キャディ条件'!$J$7=$D12),COUNTIF($F$4:F11,N$3)&lt;'キャディ条件'!$D$7,OR(COUNTIF($F$4:F11,N$3)=0,'キャディ条件'!$E$7="はい"),COUNTIFS($F$4:F11,N$3,$I$4:I11,"&gt;"&amp;$B12)=0),100+IF('キャディ条件'!$H$7=$C12,'設定・説明'!$B$9,0)+IF(AND('キャディ条件'!$E$7="はい",'キャディ条件'!$F$7="はい",OR(COUNTIF($F$4:F11,N$3)=1,AND(COUNTIF($F$4:F11,N$3)=0,IF('キャディ条件'!$J$7="全コース",COUNTIFS('ラウンド入力'!$A$13:$A$19,"&lt;&gt;",'ラウンド入力'!$B$13:$B$19,"&gt;="&amp;($B12+$E12/1440+'設定・説明'!$B$7/1440),'ラウンド入力'!$C$13:$C$19,"&lt;="&amp;'キャディ条件'!$G$7),COUNTIFS('ラウンド入力'!$A$13:$A$19,"&lt;&gt;",'ラウンド入力'!$B$13:$B$19,"&gt;="&amp;($B12+$E12/1440+'設定・説明'!$B$7/1440),'ラウンド入力'!$C$13:$C$19,"&lt;="&amp;'キャディ条件'!$G$7,'ラウンド入力'!$D$13:$D$19,'キャディ条件'!$J$7))&gt;0))),'設定・説明'!$B$10,0)+IF(AND('キャディ条件'!$I$7="ベテラン",$C12=4),'設定・説明'!$B$13,0)-('キャディ条件'!$K$7+COUNTIF($F$4:F11,N$3))*'設定・説明'!$B$11-('キャディ条件'!$L$7+COUNTIFS($F$4:F11,N$3,$C$4:C11,4))*'設定・説明'!$B$12,-9999))</x:f>
      </x:c>
      <x:c r="O12" s="83" t="str">
        <x:f>IF(OR(O$3="",$A12=""),"",IF(AND(COUNTIF('キャディ条件'!$A$5:$A$14,O$3)=1,OR('キャディ条件'!$C$8="全日",AND('キャディ条件'!$C$8="土日",WEEKDAY($B12,2)&gt;=6),AND('キャディ条件'!$C$8="平日",WEEKDAY($B12,2)&lt;=5)),$C12&lt;='キャディ条件'!$G$8,OR('キャディ条件'!$J$8="全コース",'キャディ条件'!$J$8=$D12),COUNTIF($F$4:F11,O$3)&lt;'キャディ条件'!$D$8,OR(COUNTIF($F$4:F11,O$3)=0,'キャディ条件'!$E$8="はい"),COUNTIFS($F$4:F11,O$3,$I$4:I11,"&gt;"&amp;$B12)=0),100+IF('キャディ条件'!$H$8=$C12,'設定・説明'!$B$9,0)+IF(AND('キャディ条件'!$E$8="はい",'キャディ条件'!$F$8="はい",OR(COUNTIF($F$4:F11,O$3)=1,AND(COUNTIF($F$4:F11,O$3)=0,IF('キャディ条件'!$J$8="全コース",COUNTIFS('ラウンド入力'!$A$13:$A$19,"&lt;&gt;",'ラウンド入力'!$B$13:$B$19,"&gt;="&amp;($B12+$E12/1440+'設定・説明'!$B$7/1440),'ラウンド入力'!$C$13:$C$19,"&lt;="&amp;'キャディ条件'!$G$8),COUNTIFS('ラウンド入力'!$A$13:$A$19,"&lt;&gt;",'ラウンド入力'!$B$13:$B$19,"&gt;="&amp;($B12+$E12/1440+'設定・説明'!$B$7/1440),'ラウンド入力'!$C$13:$C$19,"&lt;="&amp;'キャディ条件'!$G$8,'ラウンド入力'!$D$13:$D$19,'キャディ条件'!$J$8))&gt;0))),'設定・説明'!$B$10,0)+IF(AND('キャディ条件'!$I$8="ベテラン",$C12=4),'設定・説明'!$B$13,0)-('キャディ条件'!$K$8+COUNTIF($F$4:F11,O$3))*'設定・説明'!$B$11-('キャディ条件'!$L$8+COUNTIFS($F$4:F11,O$3,$C$4:C11,4))*'設定・説明'!$B$12,-9999))</x:f>
      </x:c>
      <x:c r="P12" s="83" t="str">
        <x:f>IF(OR(P$3="",$A12=""),"",IF(AND(COUNTIF('キャディ条件'!$A$5:$A$14,P$3)=1,OR('キャディ条件'!$C$9="全日",AND('キャディ条件'!$C$9="土日",WEEKDAY($B12,2)&gt;=6),AND('キャディ条件'!$C$9="平日",WEEKDAY($B12,2)&lt;=5)),$C12&lt;='キャディ条件'!$G$9,OR('キャディ条件'!$J$9="全コース",'キャディ条件'!$J$9=$D12),COUNTIF($F$4:F11,P$3)&lt;'キャディ条件'!$D$9,OR(COUNTIF($F$4:F11,P$3)=0,'キャディ条件'!$E$9="はい"),COUNTIFS($F$4:F11,P$3,$I$4:I11,"&gt;"&amp;$B12)=0),100+IF('キャディ条件'!$H$9=$C12,'設定・説明'!$B$9,0)+IF(AND('キャディ条件'!$E$9="はい",'キャディ条件'!$F$9="はい",OR(COUNTIF($F$4:F11,P$3)=1,AND(COUNTIF($F$4:F11,P$3)=0,IF('キャディ条件'!$J$9="全コース",COUNTIFS('ラウンド入力'!$A$13:$A$19,"&lt;&gt;",'ラウンド入力'!$B$13:$B$19,"&gt;="&amp;($B12+$E12/1440+'設定・説明'!$B$7/1440),'ラウンド入力'!$C$13:$C$19,"&lt;="&amp;'キャディ条件'!$G$9),COUNTIFS('ラウンド入力'!$A$13:$A$19,"&lt;&gt;",'ラウンド入力'!$B$13:$B$19,"&gt;="&amp;($B12+$E12/1440+'設定・説明'!$B$7/1440),'ラウンド入力'!$C$13:$C$19,"&lt;="&amp;'キャディ条件'!$G$9,'ラウンド入力'!$D$13:$D$19,'キャディ条件'!$J$9))&gt;0))),'設定・説明'!$B$10,0)+IF(AND('キャディ条件'!$I$9="ベテラン",$C12=4),'設定・説明'!$B$13,0)-('キャディ条件'!$K$9+COUNTIF($F$4:F11,P$3))*'設定・説明'!$B$11-('キャディ条件'!$L$9+COUNTIFS($F$4:F11,P$3,$C$4:C11,4))*'設定・説明'!$B$12,-9999))</x:f>
      </x:c>
      <x:c r="Q12" s="83" t="str">
        <x:f>IF(OR(Q$3="",$A12=""),"",IF(AND(COUNTIF('キャディ条件'!$A$5:$A$14,Q$3)=1,OR('キャディ条件'!$C$10="全日",AND('キャディ条件'!$C$10="土日",WEEKDAY($B12,2)&gt;=6),AND('キャディ条件'!$C$10="平日",WEEKDAY($B12,2)&lt;=5)),$C12&lt;='キャディ条件'!$G$10,OR('キャディ条件'!$J$10="全コース",'キャディ条件'!$J$10=$D12),COUNTIF($F$4:F11,Q$3)&lt;'キャディ条件'!$D$10,OR(COUNTIF($F$4:F11,Q$3)=0,'キャディ条件'!$E$10="はい"),COUNTIFS($F$4:F11,Q$3,$I$4:I11,"&gt;"&amp;$B12)=0),100+IF('キャディ条件'!$H$10=$C12,'設定・説明'!$B$9,0)+IF(AND('キャディ条件'!$E$10="はい",'キャディ条件'!$F$10="はい",OR(COUNTIF($F$4:F11,Q$3)=1,AND(COUNTIF($F$4:F11,Q$3)=0,IF('キャディ条件'!$J$10="全コース",COUNTIFS('ラウンド入力'!$A$13:$A$19,"&lt;&gt;",'ラウンド入力'!$B$13:$B$19,"&gt;="&amp;($B12+$E12/1440+'設定・説明'!$B$7/1440),'ラウンド入力'!$C$13:$C$19,"&lt;="&amp;'キャディ条件'!$G$10),COUNTIFS('ラウンド入力'!$A$13:$A$19,"&lt;&gt;",'ラウンド入力'!$B$13:$B$19,"&gt;="&amp;($B12+$E12/1440+'設定・説明'!$B$7/1440),'ラウンド入力'!$C$13:$C$19,"&lt;="&amp;'キャディ条件'!$G$10,'ラウンド入力'!$D$13:$D$19,'キャディ条件'!$J$10))&gt;0))),'設定・説明'!$B$10,0)+IF(AND('キャディ条件'!$I$10="ベテラン",$C12=4),'設定・説明'!$B$13,0)-('キャディ条件'!$K$10+COUNTIF($F$4:F11,Q$3))*'設定・説明'!$B$11-('キャディ条件'!$L$10+COUNTIFS($F$4:F11,Q$3,$C$4:C11,4))*'設定・説明'!$B$12,-9999))</x:f>
      </x:c>
      <x:c r="R12" s="83" t="str">
        <x:f>IF(OR(R$3="",$A12=""),"",IF(AND(COUNTIF('キャディ条件'!$A$5:$A$14,R$3)=1,OR('キャディ条件'!$C$11="全日",AND('キャディ条件'!$C$11="土日",WEEKDAY($B12,2)&gt;=6),AND('キャディ条件'!$C$11="平日",WEEKDAY($B12,2)&lt;=5)),$C12&lt;='キャディ条件'!$G$11,OR('キャディ条件'!$J$11="全コース",'キャディ条件'!$J$11=$D12),COUNTIF($F$4:F11,R$3)&lt;'キャディ条件'!$D$11,OR(COUNTIF($F$4:F11,R$3)=0,'キャディ条件'!$E$11="はい"),COUNTIFS($F$4:F11,R$3,$I$4:I11,"&gt;"&amp;$B12)=0),100+IF('キャディ条件'!$H$11=$C12,'設定・説明'!$B$9,0)+IF(AND('キャディ条件'!$E$11="はい",'キャディ条件'!$F$11="はい",OR(COUNTIF($F$4:F11,R$3)=1,AND(COUNTIF($F$4:F11,R$3)=0,IF('キャディ条件'!$J$11="全コース",COUNTIFS('ラウンド入力'!$A$13:$A$19,"&lt;&gt;",'ラウンド入力'!$B$13:$B$19,"&gt;="&amp;($B12+$E12/1440+'設定・説明'!$B$7/1440),'ラウンド入力'!$C$13:$C$19,"&lt;="&amp;'キャディ条件'!$G$11),COUNTIFS('ラウンド入力'!$A$13:$A$19,"&lt;&gt;",'ラウンド入力'!$B$13:$B$19,"&gt;="&amp;($B12+$E12/1440+'設定・説明'!$B$7/1440),'ラウンド入力'!$C$13:$C$19,"&lt;="&amp;'キャディ条件'!$G$11,'ラウンド入力'!$D$13:$D$19,'キャディ条件'!$J$11))&gt;0))),'設定・説明'!$B$10,0)+IF(AND('キャディ条件'!$I$11="ベテラン",$C12=4),'設定・説明'!$B$13,0)-('キャディ条件'!$K$11+COUNTIF($F$4:F11,R$3))*'設定・説明'!$B$11-('キャディ条件'!$L$11+COUNTIFS($F$4:F11,R$3,$C$4:C11,4))*'設定・説明'!$B$12,-9999))</x:f>
      </x:c>
      <x:c r="S12" s="83" t="str">
        <x:f>IF(OR(S$3="",$A12=""),"",IF(AND(COUNTIF('キャディ条件'!$A$5:$A$14,S$3)=1,OR('キャディ条件'!$C$12="全日",AND('キャディ条件'!$C$12="土日",WEEKDAY($B12,2)&gt;=6),AND('キャディ条件'!$C$12="平日",WEEKDAY($B12,2)&lt;=5)),$C12&lt;='キャディ条件'!$G$12,OR('キャディ条件'!$J$12="全コース",'キャディ条件'!$J$12=$D12),COUNTIF($F$4:F11,S$3)&lt;'キャディ条件'!$D$12,OR(COUNTIF($F$4:F11,S$3)=0,'キャディ条件'!$E$12="はい"),COUNTIFS($F$4:F11,S$3,$I$4:I11,"&gt;"&amp;$B12)=0),100+IF('キャディ条件'!$H$12=$C12,'設定・説明'!$B$9,0)+IF(AND('キャディ条件'!$E$12="はい",'キャディ条件'!$F$12="はい",OR(COUNTIF($F$4:F11,S$3)=1,AND(COUNTIF($F$4:F11,S$3)=0,IF('キャディ条件'!$J$12="全コース",COUNTIFS('ラウンド入力'!$A$13:$A$19,"&lt;&gt;",'ラウンド入力'!$B$13:$B$19,"&gt;="&amp;($B12+$E12/1440+'設定・説明'!$B$7/1440),'ラウンド入力'!$C$13:$C$19,"&lt;="&amp;'キャディ条件'!$G$12),COUNTIFS('ラウンド入力'!$A$13:$A$19,"&lt;&gt;",'ラウンド入力'!$B$13:$B$19,"&gt;="&amp;($B12+$E12/1440+'設定・説明'!$B$7/1440),'ラウンド入力'!$C$13:$C$19,"&lt;="&amp;'キャディ条件'!$G$12,'ラウンド入力'!$D$13:$D$19,'キャディ条件'!$J$12))&gt;0))),'設定・説明'!$B$10,0)+IF(AND('キャディ条件'!$I$12="ベテラン",$C12=4),'設定・説明'!$B$13,0)-('キャディ条件'!$K$12+COUNTIF($F$4:F11,S$3))*'設定・説明'!$B$11-('キャディ条件'!$L$12+COUNTIFS($F$4:F11,S$3,$C$4:C11,4))*'設定・説明'!$B$12,-9999))</x:f>
      </x:c>
      <x:c r="T12" s="83" t="str">
        <x:f>IF(OR(T$3="",$A12=""),"",IF(AND(COUNTIF('キャディ条件'!$A$5:$A$14,T$3)=1,OR('キャディ条件'!$C$13="全日",AND('キャディ条件'!$C$13="土日",WEEKDAY($B12,2)&gt;=6),AND('キャディ条件'!$C$13="平日",WEEKDAY($B12,2)&lt;=5)),$C12&lt;='キャディ条件'!$G$13,OR('キャディ条件'!$J$13="全コース",'キャディ条件'!$J$13=$D12),COUNTIF($F$4:F11,T$3)&lt;'キャディ条件'!$D$13,OR(COUNTIF($F$4:F11,T$3)=0,'キャディ条件'!$E$13="はい"),COUNTIFS($F$4:F11,T$3,$I$4:I11,"&gt;"&amp;$B12)=0),100+IF('キャディ条件'!$H$13=$C12,'設定・説明'!$B$9,0)+IF(AND('キャディ条件'!$E$13="はい",'キャディ条件'!$F$13="はい",OR(COUNTIF($F$4:F11,T$3)=1,AND(COUNTIF($F$4:F11,T$3)=0,IF('キャディ条件'!$J$13="全コース",COUNTIFS('ラウンド入力'!$A$13:$A$19,"&lt;&gt;",'ラウンド入力'!$B$13:$B$19,"&gt;="&amp;($B12+$E12/1440+'設定・説明'!$B$7/1440),'ラウンド入力'!$C$13:$C$19,"&lt;="&amp;'キャディ条件'!$G$13),COUNTIFS('ラウンド入力'!$A$13:$A$19,"&lt;&gt;",'ラウンド入力'!$B$13:$B$19,"&gt;="&amp;($B12+$E12/1440+'設定・説明'!$B$7/1440),'ラウンド入力'!$C$13:$C$19,"&lt;="&amp;'キャディ条件'!$G$13,'ラウンド入力'!$D$13:$D$19,'キャディ条件'!$J$13))&gt;0))),'設定・説明'!$B$10,0)+IF(AND('キャディ条件'!$I$13="ベテラン",$C12=4),'設定・説明'!$B$13,0)-('キャディ条件'!$K$13+COUNTIF($F$4:F11,T$3))*'設定・説明'!$B$11-('キャディ条件'!$L$13+COUNTIFS($F$4:F11,T$3,$C$4:C11,4))*'設定・説明'!$B$12,-9999))</x:f>
      </x:c>
      <x:c r="U12" s="83" t="str">
        <x:f>IF(OR(U$3="",$A12=""),"",IF(AND(COUNTIF('キャディ条件'!$A$5:$A$14,U$3)=1,OR('キャディ条件'!$C$14="全日",AND('キャディ条件'!$C$14="土日",WEEKDAY($B12,2)&gt;=6),AND('キャディ条件'!$C$14="平日",WEEKDAY($B12,2)&lt;=5)),$C12&lt;='キャディ条件'!$G$14,OR('キャディ条件'!$J$14="全コース",'キャディ条件'!$J$14=$D12),COUNTIF($F$4:F11,U$3)&lt;'キャディ条件'!$D$14,OR(COUNTIF($F$4:F11,U$3)=0,'キャディ条件'!$E$14="はい"),COUNTIFS($F$4:F11,U$3,$I$4:I11,"&gt;"&amp;$B12)=0),100+IF('キャディ条件'!$H$14=$C12,'設定・説明'!$B$9,0)+IF(AND('キャディ条件'!$E$14="はい",'キャディ条件'!$F$14="はい",OR(COUNTIF($F$4:F11,U$3)=1,AND(COUNTIF($F$4:F11,U$3)=0,IF('キャディ条件'!$J$14="全コース",COUNTIFS('ラウンド入力'!$A$13:$A$19,"&lt;&gt;",'ラウンド入力'!$B$13:$B$19,"&gt;="&amp;($B12+$E12/1440+'設定・説明'!$B$7/1440),'ラウンド入力'!$C$13:$C$19,"&lt;="&amp;'キャディ条件'!$G$14),COUNTIFS('ラウンド入力'!$A$13:$A$19,"&lt;&gt;",'ラウンド入力'!$B$13:$B$19,"&gt;="&amp;($B12+$E12/1440+'設定・説明'!$B$7/1440),'ラウンド入力'!$C$13:$C$19,"&lt;="&amp;'キャディ条件'!$G$14,'ラウンド入力'!$D$13:$D$19,'キャディ条件'!$J$14))&gt;0))),'設定・説明'!$B$10,0)+IF(AND('キャディ条件'!$I$14="ベテラン",$C12=4),'設定・説明'!$B$13,0)-('キャディ条件'!$K$14+COUNTIF($F$4:F11,U$3))*'設定・説明'!$B$11-('キャディ条件'!$L$14+COUNTIFS($F$4:F11,U$3,$C$4:C11,4))*'設定・説明'!$B$12,-9999))</x:f>
      </x:c>
      <x:c r="V12" s="74" t="str">
        <x:f>IF($A12="","",IF($J12="人数希望一致",1,0))</x:f>
      </x:c>
    </x:row>
    <x:row r="13">
      <x:c r="A13" s="73" t="str">
        <x:f>IF('ラウンド入力'!A13="","",'ラウンド入力'!A13)</x:f>
      </x:c>
      <x:c r="B13" s="79" t="str">
        <x:f>IF('ラウンド入力'!A13="","",'ラウンド入力'!B13)</x:f>
      </x:c>
      <x:c r="C13" s="74" t="str">
        <x:f>IF('ラウンド入力'!A13="","",'ラウンド入力'!C13)</x:f>
      </x:c>
      <x:c r="D13" s="74" t="str">
        <x:f>IF('ラウンド入力'!A13="","",'ラウンド入力'!D13)</x:f>
      </x:c>
      <x:c r="E13" s="74" t="str">
        <x:f>IF('ラウンド入力'!A13="","",IF('ラウンド入力'!E13="",'設定・説明'!$B$6,'ラウンド入力'!E13))</x:f>
      </x:c>
      <x:c r="F13" s="74" t="str">
        <x:f>IF($A13="","",IF(COUNTIF(L13:U13,"&gt;-9999")=0,"未割当",INDEX($L$3:$U$3,1,MATCH(MAX(L13:U13),L13:U13,0))))</x:f>
      </x:c>
      <x:c r="G13" s="74" t="str">
        <x:f>IF(OR($F13="",$F13="未割当"),"",INDEX('キャディ条件'!$B$5:$B$14,MATCH($F13,'キャディ条件'!$A$5:$A$14,0)))</x:f>
      </x:c>
      <x:c r="H13" s="81" t="str">
        <x:f>IF($A13="","",$B13+$E13/1440)</x:f>
      </x:c>
      <x:c r="I13" s="81" t="str">
        <x:f>IF($A13="","",$H13+'設定・説明'!$B$7/1440)</x:f>
      </x:c>
      <x:c r="J13" s="85" t="str">
        <x:f>IF($A13="","",IF($F13="未割当","Hard条件を満たす候補なし",IF(INDEX('キャディ条件'!$H$5:$H$14,MATCH($F13,'キャディ条件'!$A$5:$A$14,0))=$C13,"人数希望一致",IF(AND(INDEX('キャディ条件'!$F$5:$F$14,MATCH($F13,'キャディ条件'!$A$5:$A$14,0))="はい",COUNTIF($F$5:$F$19,$F13)=2),"2ラウンド希望を考慮","公平性・残容量"))))</x:f>
      </x:c>
      <x:c r="K13" s="85" t="str">
        <x:f>IF($A13="","",IF($F13="未割当","要手動調整",""))</x:f>
      </x:c>
      <x:c r="L13" s="83" t="str">
        <x:f>IF(OR(L$3="",$A13=""),"",IF(AND(COUNTIF('キャディ条件'!$A$5:$A$14,L$3)=1,OR('キャディ条件'!$C$5="全日",AND('キャディ条件'!$C$5="土日",WEEKDAY($B13,2)&gt;=6),AND('キャディ条件'!$C$5="平日",WEEKDAY($B13,2)&lt;=5)),$C13&lt;='キャディ条件'!$G$5,OR('キャディ条件'!$J$5="全コース",'キャディ条件'!$J$5=$D13),COUNTIF($F$4:F12,L$3)&lt;'キャディ条件'!$D$5,OR(COUNTIF($F$4:F12,L$3)=0,'キャディ条件'!$E$5="はい"),COUNTIFS($F$4:F12,L$3,$I$4:I12,"&gt;"&amp;$B13)=0),100+IF('キャディ条件'!$H$5=$C13,'設定・説明'!$B$9,0)+IF(AND('キャディ条件'!$E$5="はい",'キャディ条件'!$F$5="はい",OR(COUNTIF($F$4:F12,L$3)=1,AND(COUNTIF($F$4:F12,L$3)=0,IF('キャディ条件'!$J$5="全コース",COUNTIFS('ラウンド入力'!$A$14:$A$19,"&lt;&gt;",'ラウンド入力'!$B$14:$B$19,"&gt;="&amp;($B13+$E13/1440+'設定・説明'!$B$7/1440),'ラウンド入力'!$C$14:$C$19,"&lt;="&amp;'キャディ条件'!$G$5),COUNTIFS('ラウンド入力'!$A$14:$A$19,"&lt;&gt;",'ラウンド入力'!$B$14:$B$19,"&gt;="&amp;($B13+$E13/1440+'設定・説明'!$B$7/1440),'ラウンド入力'!$C$14:$C$19,"&lt;="&amp;'キャディ条件'!$G$5,'ラウンド入力'!$D$14:$D$19,'キャディ条件'!$J$5))&gt;0))),'設定・説明'!$B$10,0)+IF(AND('キャディ条件'!$I$5="ベテラン",$C13=4),'設定・説明'!$B$13,0)-('キャディ条件'!$K$5+COUNTIF($F$4:F12,L$3))*'設定・説明'!$B$11-('キャディ条件'!$L$5+COUNTIFS($F$4:F12,L$3,$C$4:C12,4))*'設定・説明'!$B$12,-9999))</x:f>
      </x:c>
      <x:c r="M13" s="83" t="str">
        <x:f>IF(OR(M$3="",$A13=""),"",IF(AND(COUNTIF('キャディ条件'!$A$5:$A$14,M$3)=1,OR('キャディ条件'!$C$6="全日",AND('キャディ条件'!$C$6="土日",WEEKDAY($B13,2)&gt;=6),AND('キャディ条件'!$C$6="平日",WEEKDAY($B13,2)&lt;=5)),$C13&lt;='キャディ条件'!$G$6,OR('キャディ条件'!$J$6="全コース",'キャディ条件'!$J$6=$D13),COUNTIF($F$4:F12,M$3)&lt;'キャディ条件'!$D$6,OR(COUNTIF($F$4:F12,M$3)=0,'キャディ条件'!$E$6="はい"),COUNTIFS($F$4:F12,M$3,$I$4:I12,"&gt;"&amp;$B13)=0),100+IF('キャディ条件'!$H$6=$C13,'設定・説明'!$B$9,0)+IF(AND('キャディ条件'!$E$6="はい",'キャディ条件'!$F$6="はい",OR(COUNTIF($F$4:F12,M$3)=1,AND(COUNTIF($F$4:F12,M$3)=0,IF('キャディ条件'!$J$6="全コース",COUNTIFS('ラウンド入力'!$A$14:$A$19,"&lt;&gt;",'ラウンド入力'!$B$14:$B$19,"&gt;="&amp;($B13+$E13/1440+'設定・説明'!$B$7/1440),'ラウンド入力'!$C$14:$C$19,"&lt;="&amp;'キャディ条件'!$G$6),COUNTIFS('ラウンド入力'!$A$14:$A$19,"&lt;&gt;",'ラウンド入力'!$B$14:$B$19,"&gt;="&amp;($B13+$E13/1440+'設定・説明'!$B$7/1440),'ラウンド入力'!$C$14:$C$19,"&lt;="&amp;'キャディ条件'!$G$6,'ラウンド入力'!$D$14:$D$19,'キャディ条件'!$J$6))&gt;0))),'設定・説明'!$B$10,0)+IF(AND('キャディ条件'!$I$6="ベテラン",$C13=4),'設定・説明'!$B$13,0)-('キャディ条件'!$K$6+COUNTIF($F$4:F12,M$3))*'設定・説明'!$B$11-('キャディ条件'!$L$6+COUNTIFS($F$4:F12,M$3,$C$4:C12,4))*'設定・説明'!$B$12,-9999))</x:f>
      </x:c>
      <x:c r="N13" s="83" t="str">
        <x:f>IF(OR(N$3="",$A13=""),"",IF(AND(COUNTIF('キャディ条件'!$A$5:$A$14,N$3)=1,OR('キャディ条件'!$C$7="全日",AND('キャディ条件'!$C$7="土日",WEEKDAY($B13,2)&gt;=6),AND('キャディ条件'!$C$7="平日",WEEKDAY($B13,2)&lt;=5)),$C13&lt;='キャディ条件'!$G$7,OR('キャディ条件'!$J$7="全コース",'キャディ条件'!$J$7=$D13),COUNTIF($F$4:F12,N$3)&lt;'キャディ条件'!$D$7,OR(COUNTIF($F$4:F12,N$3)=0,'キャディ条件'!$E$7="はい"),COUNTIFS($F$4:F12,N$3,$I$4:I12,"&gt;"&amp;$B13)=0),100+IF('キャディ条件'!$H$7=$C13,'設定・説明'!$B$9,0)+IF(AND('キャディ条件'!$E$7="はい",'キャディ条件'!$F$7="はい",OR(COUNTIF($F$4:F12,N$3)=1,AND(COUNTIF($F$4:F12,N$3)=0,IF('キャディ条件'!$J$7="全コース",COUNTIFS('ラウンド入力'!$A$14:$A$19,"&lt;&gt;",'ラウンド入力'!$B$14:$B$19,"&gt;="&amp;($B13+$E13/1440+'設定・説明'!$B$7/1440),'ラウンド入力'!$C$14:$C$19,"&lt;="&amp;'キャディ条件'!$G$7),COUNTIFS('ラウンド入力'!$A$14:$A$19,"&lt;&gt;",'ラウンド入力'!$B$14:$B$19,"&gt;="&amp;($B13+$E13/1440+'設定・説明'!$B$7/1440),'ラウンド入力'!$C$14:$C$19,"&lt;="&amp;'キャディ条件'!$G$7,'ラウンド入力'!$D$14:$D$19,'キャディ条件'!$J$7))&gt;0))),'設定・説明'!$B$10,0)+IF(AND('キャディ条件'!$I$7="ベテラン",$C13=4),'設定・説明'!$B$13,0)-('キャディ条件'!$K$7+COUNTIF($F$4:F12,N$3))*'設定・説明'!$B$11-('キャディ条件'!$L$7+COUNTIFS($F$4:F12,N$3,$C$4:C12,4))*'設定・説明'!$B$12,-9999))</x:f>
      </x:c>
      <x:c r="O13" s="83" t="str">
        <x:f>IF(OR(O$3="",$A13=""),"",IF(AND(COUNTIF('キャディ条件'!$A$5:$A$14,O$3)=1,OR('キャディ条件'!$C$8="全日",AND('キャディ条件'!$C$8="土日",WEEKDAY($B13,2)&gt;=6),AND('キャディ条件'!$C$8="平日",WEEKDAY($B13,2)&lt;=5)),$C13&lt;='キャディ条件'!$G$8,OR('キャディ条件'!$J$8="全コース",'キャディ条件'!$J$8=$D13),COUNTIF($F$4:F12,O$3)&lt;'キャディ条件'!$D$8,OR(COUNTIF($F$4:F12,O$3)=0,'キャディ条件'!$E$8="はい"),COUNTIFS($F$4:F12,O$3,$I$4:I12,"&gt;"&amp;$B13)=0),100+IF('キャディ条件'!$H$8=$C13,'設定・説明'!$B$9,0)+IF(AND('キャディ条件'!$E$8="はい",'キャディ条件'!$F$8="はい",OR(COUNTIF($F$4:F12,O$3)=1,AND(COUNTIF($F$4:F12,O$3)=0,IF('キャディ条件'!$J$8="全コース",COUNTIFS('ラウンド入力'!$A$14:$A$19,"&lt;&gt;",'ラウンド入力'!$B$14:$B$19,"&gt;="&amp;($B13+$E13/1440+'設定・説明'!$B$7/1440),'ラウンド入力'!$C$14:$C$19,"&lt;="&amp;'キャディ条件'!$G$8),COUNTIFS('ラウンド入力'!$A$14:$A$19,"&lt;&gt;",'ラウンド入力'!$B$14:$B$19,"&gt;="&amp;($B13+$E13/1440+'設定・説明'!$B$7/1440),'ラウンド入力'!$C$14:$C$19,"&lt;="&amp;'キャディ条件'!$G$8,'ラウンド入力'!$D$14:$D$19,'キャディ条件'!$J$8))&gt;0))),'設定・説明'!$B$10,0)+IF(AND('キャディ条件'!$I$8="ベテラン",$C13=4),'設定・説明'!$B$13,0)-('キャディ条件'!$K$8+COUNTIF($F$4:F12,O$3))*'設定・説明'!$B$11-('キャディ条件'!$L$8+COUNTIFS($F$4:F12,O$3,$C$4:C12,4))*'設定・説明'!$B$12,-9999))</x:f>
      </x:c>
      <x:c r="P13" s="83" t="str">
        <x:f>IF(OR(P$3="",$A13=""),"",IF(AND(COUNTIF('キャディ条件'!$A$5:$A$14,P$3)=1,OR('キャディ条件'!$C$9="全日",AND('キャディ条件'!$C$9="土日",WEEKDAY($B13,2)&gt;=6),AND('キャディ条件'!$C$9="平日",WEEKDAY($B13,2)&lt;=5)),$C13&lt;='キャディ条件'!$G$9,OR('キャディ条件'!$J$9="全コース",'キャディ条件'!$J$9=$D13),COUNTIF($F$4:F12,P$3)&lt;'キャディ条件'!$D$9,OR(COUNTIF($F$4:F12,P$3)=0,'キャディ条件'!$E$9="はい"),COUNTIFS($F$4:F12,P$3,$I$4:I12,"&gt;"&amp;$B13)=0),100+IF('キャディ条件'!$H$9=$C13,'設定・説明'!$B$9,0)+IF(AND('キャディ条件'!$E$9="はい",'キャディ条件'!$F$9="はい",OR(COUNTIF($F$4:F12,P$3)=1,AND(COUNTIF($F$4:F12,P$3)=0,IF('キャディ条件'!$J$9="全コース",COUNTIFS('ラウンド入力'!$A$14:$A$19,"&lt;&gt;",'ラウンド入力'!$B$14:$B$19,"&gt;="&amp;($B13+$E13/1440+'設定・説明'!$B$7/1440),'ラウンド入力'!$C$14:$C$19,"&lt;="&amp;'キャディ条件'!$G$9),COUNTIFS('ラウンド入力'!$A$14:$A$19,"&lt;&gt;",'ラウンド入力'!$B$14:$B$19,"&gt;="&amp;($B13+$E13/1440+'設定・説明'!$B$7/1440),'ラウンド入力'!$C$14:$C$19,"&lt;="&amp;'キャディ条件'!$G$9,'ラウンド入力'!$D$14:$D$19,'キャディ条件'!$J$9))&gt;0))),'設定・説明'!$B$10,0)+IF(AND('キャディ条件'!$I$9="ベテラン",$C13=4),'設定・説明'!$B$13,0)-('キャディ条件'!$K$9+COUNTIF($F$4:F12,P$3))*'設定・説明'!$B$11-('キャディ条件'!$L$9+COUNTIFS($F$4:F12,P$3,$C$4:C12,4))*'設定・説明'!$B$12,-9999))</x:f>
      </x:c>
      <x:c r="Q13" s="83" t="str">
        <x:f>IF(OR(Q$3="",$A13=""),"",IF(AND(COUNTIF('キャディ条件'!$A$5:$A$14,Q$3)=1,OR('キャディ条件'!$C$10="全日",AND('キャディ条件'!$C$10="土日",WEEKDAY($B13,2)&gt;=6),AND('キャディ条件'!$C$10="平日",WEEKDAY($B13,2)&lt;=5)),$C13&lt;='キャディ条件'!$G$10,OR('キャディ条件'!$J$10="全コース",'キャディ条件'!$J$10=$D13),COUNTIF($F$4:F12,Q$3)&lt;'キャディ条件'!$D$10,OR(COUNTIF($F$4:F12,Q$3)=0,'キャディ条件'!$E$10="はい"),COUNTIFS($F$4:F12,Q$3,$I$4:I12,"&gt;"&amp;$B13)=0),100+IF('キャディ条件'!$H$10=$C13,'設定・説明'!$B$9,0)+IF(AND('キャディ条件'!$E$10="はい",'キャディ条件'!$F$10="はい",OR(COUNTIF($F$4:F12,Q$3)=1,AND(COUNTIF($F$4:F12,Q$3)=0,IF('キャディ条件'!$J$10="全コース",COUNTIFS('ラウンド入力'!$A$14:$A$19,"&lt;&gt;",'ラウンド入力'!$B$14:$B$19,"&gt;="&amp;($B13+$E13/1440+'設定・説明'!$B$7/1440),'ラウンド入力'!$C$14:$C$19,"&lt;="&amp;'キャディ条件'!$G$10),COUNTIFS('ラウンド入力'!$A$14:$A$19,"&lt;&gt;",'ラウンド入力'!$B$14:$B$19,"&gt;="&amp;($B13+$E13/1440+'設定・説明'!$B$7/1440),'ラウンド入力'!$C$14:$C$19,"&lt;="&amp;'キャディ条件'!$G$10,'ラウンド入力'!$D$14:$D$19,'キャディ条件'!$J$10))&gt;0))),'設定・説明'!$B$10,0)+IF(AND('キャディ条件'!$I$10="ベテラン",$C13=4),'設定・説明'!$B$13,0)-('キャディ条件'!$K$10+COUNTIF($F$4:F12,Q$3))*'設定・説明'!$B$11-('キャディ条件'!$L$10+COUNTIFS($F$4:F12,Q$3,$C$4:C12,4))*'設定・説明'!$B$12,-9999))</x:f>
      </x:c>
      <x:c r="R13" s="83" t="str">
        <x:f>IF(OR(R$3="",$A13=""),"",IF(AND(COUNTIF('キャディ条件'!$A$5:$A$14,R$3)=1,OR('キャディ条件'!$C$11="全日",AND('キャディ条件'!$C$11="土日",WEEKDAY($B13,2)&gt;=6),AND('キャディ条件'!$C$11="平日",WEEKDAY($B13,2)&lt;=5)),$C13&lt;='キャディ条件'!$G$11,OR('キャディ条件'!$J$11="全コース",'キャディ条件'!$J$11=$D13),COUNTIF($F$4:F12,R$3)&lt;'キャディ条件'!$D$11,OR(COUNTIF($F$4:F12,R$3)=0,'キャディ条件'!$E$11="はい"),COUNTIFS($F$4:F12,R$3,$I$4:I12,"&gt;"&amp;$B13)=0),100+IF('キャディ条件'!$H$11=$C13,'設定・説明'!$B$9,0)+IF(AND('キャディ条件'!$E$11="はい",'キャディ条件'!$F$11="はい",OR(COUNTIF($F$4:F12,R$3)=1,AND(COUNTIF($F$4:F12,R$3)=0,IF('キャディ条件'!$J$11="全コース",COUNTIFS('ラウンド入力'!$A$14:$A$19,"&lt;&gt;",'ラウンド入力'!$B$14:$B$19,"&gt;="&amp;($B13+$E13/1440+'設定・説明'!$B$7/1440),'ラウンド入力'!$C$14:$C$19,"&lt;="&amp;'キャディ条件'!$G$11),COUNTIFS('ラウンド入力'!$A$14:$A$19,"&lt;&gt;",'ラウンド入力'!$B$14:$B$19,"&gt;="&amp;($B13+$E13/1440+'設定・説明'!$B$7/1440),'ラウンド入力'!$C$14:$C$19,"&lt;="&amp;'キャディ条件'!$G$11,'ラウンド入力'!$D$14:$D$19,'キャディ条件'!$J$11))&gt;0))),'設定・説明'!$B$10,0)+IF(AND('キャディ条件'!$I$11="ベテラン",$C13=4),'設定・説明'!$B$13,0)-('キャディ条件'!$K$11+COUNTIF($F$4:F12,R$3))*'設定・説明'!$B$11-('キャディ条件'!$L$11+COUNTIFS($F$4:F12,R$3,$C$4:C12,4))*'設定・説明'!$B$12,-9999))</x:f>
      </x:c>
      <x:c r="S13" s="83" t="str">
        <x:f>IF(OR(S$3="",$A13=""),"",IF(AND(COUNTIF('キャディ条件'!$A$5:$A$14,S$3)=1,OR('キャディ条件'!$C$12="全日",AND('キャディ条件'!$C$12="土日",WEEKDAY($B13,2)&gt;=6),AND('キャディ条件'!$C$12="平日",WEEKDAY($B13,2)&lt;=5)),$C13&lt;='キャディ条件'!$G$12,OR('キャディ条件'!$J$12="全コース",'キャディ条件'!$J$12=$D13),COUNTIF($F$4:F12,S$3)&lt;'キャディ条件'!$D$12,OR(COUNTIF($F$4:F12,S$3)=0,'キャディ条件'!$E$12="はい"),COUNTIFS($F$4:F12,S$3,$I$4:I12,"&gt;"&amp;$B13)=0),100+IF('キャディ条件'!$H$12=$C13,'設定・説明'!$B$9,0)+IF(AND('キャディ条件'!$E$12="はい",'キャディ条件'!$F$12="はい",OR(COUNTIF($F$4:F12,S$3)=1,AND(COUNTIF($F$4:F12,S$3)=0,IF('キャディ条件'!$J$12="全コース",COUNTIFS('ラウンド入力'!$A$14:$A$19,"&lt;&gt;",'ラウンド入力'!$B$14:$B$19,"&gt;="&amp;($B13+$E13/1440+'設定・説明'!$B$7/1440),'ラウンド入力'!$C$14:$C$19,"&lt;="&amp;'キャディ条件'!$G$12),COUNTIFS('ラウンド入力'!$A$14:$A$19,"&lt;&gt;",'ラウンド入力'!$B$14:$B$19,"&gt;="&amp;($B13+$E13/1440+'設定・説明'!$B$7/1440),'ラウンド入力'!$C$14:$C$19,"&lt;="&amp;'キャディ条件'!$G$12,'ラウンド入力'!$D$14:$D$19,'キャディ条件'!$J$12))&gt;0))),'設定・説明'!$B$10,0)+IF(AND('キャディ条件'!$I$12="ベテラン",$C13=4),'設定・説明'!$B$13,0)-('キャディ条件'!$K$12+COUNTIF($F$4:F12,S$3))*'設定・説明'!$B$11-('キャディ条件'!$L$12+COUNTIFS($F$4:F12,S$3,$C$4:C12,4))*'設定・説明'!$B$12,-9999))</x:f>
      </x:c>
      <x:c r="T13" s="83" t="str">
        <x:f>IF(OR(T$3="",$A13=""),"",IF(AND(COUNTIF('キャディ条件'!$A$5:$A$14,T$3)=1,OR('キャディ条件'!$C$13="全日",AND('キャディ条件'!$C$13="土日",WEEKDAY($B13,2)&gt;=6),AND('キャディ条件'!$C$13="平日",WEEKDAY($B13,2)&lt;=5)),$C13&lt;='キャディ条件'!$G$13,OR('キャディ条件'!$J$13="全コース",'キャディ条件'!$J$13=$D13),COUNTIF($F$4:F12,T$3)&lt;'キャディ条件'!$D$13,OR(COUNTIF($F$4:F12,T$3)=0,'キャディ条件'!$E$13="はい"),COUNTIFS($F$4:F12,T$3,$I$4:I12,"&gt;"&amp;$B13)=0),100+IF('キャディ条件'!$H$13=$C13,'設定・説明'!$B$9,0)+IF(AND('キャディ条件'!$E$13="はい",'キャディ条件'!$F$13="はい",OR(COUNTIF($F$4:F12,T$3)=1,AND(COUNTIF($F$4:F12,T$3)=0,IF('キャディ条件'!$J$13="全コース",COUNTIFS('ラウンド入力'!$A$14:$A$19,"&lt;&gt;",'ラウンド入力'!$B$14:$B$19,"&gt;="&amp;($B13+$E13/1440+'設定・説明'!$B$7/1440),'ラウンド入力'!$C$14:$C$19,"&lt;="&amp;'キャディ条件'!$G$13),COUNTIFS('ラウンド入力'!$A$14:$A$19,"&lt;&gt;",'ラウンド入力'!$B$14:$B$19,"&gt;="&amp;($B13+$E13/1440+'設定・説明'!$B$7/1440),'ラウンド入力'!$C$14:$C$19,"&lt;="&amp;'キャディ条件'!$G$13,'ラウンド入力'!$D$14:$D$19,'キャディ条件'!$J$13))&gt;0))),'設定・説明'!$B$10,0)+IF(AND('キャディ条件'!$I$13="ベテラン",$C13=4),'設定・説明'!$B$13,0)-('キャディ条件'!$K$13+COUNTIF($F$4:F12,T$3))*'設定・説明'!$B$11-('キャディ条件'!$L$13+COUNTIFS($F$4:F12,T$3,$C$4:C12,4))*'設定・説明'!$B$12,-9999))</x:f>
      </x:c>
      <x:c r="U13" s="83" t="str">
        <x:f>IF(OR(U$3="",$A13=""),"",IF(AND(COUNTIF('キャディ条件'!$A$5:$A$14,U$3)=1,OR('キャディ条件'!$C$14="全日",AND('キャディ条件'!$C$14="土日",WEEKDAY($B13,2)&gt;=6),AND('キャディ条件'!$C$14="平日",WEEKDAY($B13,2)&lt;=5)),$C13&lt;='キャディ条件'!$G$14,OR('キャディ条件'!$J$14="全コース",'キャディ条件'!$J$14=$D13),COUNTIF($F$4:F12,U$3)&lt;'キャディ条件'!$D$14,OR(COUNTIF($F$4:F12,U$3)=0,'キャディ条件'!$E$14="はい"),COUNTIFS($F$4:F12,U$3,$I$4:I12,"&gt;"&amp;$B13)=0),100+IF('キャディ条件'!$H$14=$C13,'設定・説明'!$B$9,0)+IF(AND('キャディ条件'!$E$14="はい",'キャディ条件'!$F$14="はい",OR(COUNTIF($F$4:F12,U$3)=1,AND(COUNTIF($F$4:F12,U$3)=0,IF('キャディ条件'!$J$14="全コース",COUNTIFS('ラウンド入力'!$A$14:$A$19,"&lt;&gt;",'ラウンド入力'!$B$14:$B$19,"&gt;="&amp;($B13+$E13/1440+'設定・説明'!$B$7/1440),'ラウンド入力'!$C$14:$C$19,"&lt;="&amp;'キャディ条件'!$G$14),COUNTIFS('ラウンド入力'!$A$14:$A$19,"&lt;&gt;",'ラウンド入力'!$B$14:$B$19,"&gt;="&amp;($B13+$E13/1440+'設定・説明'!$B$7/1440),'ラウンド入力'!$C$14:$C$19,"&lt;="&amp;'キャディ条件'!$G$14,'ラウンド入力'!$D$14:$D$19,'キャディ条件'!$J$14))&gt;0))),'設定・説明'!$B$10,0)+IF(AND('キャディ条件'!$I$14="ベテラン",$C13=4),'設定・説明'!$B$13,0)-('キャディ条件'!$K$14+COUNTIF($F$4:F12,U$3))*'設定・説明'!$B$11-('キャディ条件'!$L$14+COUNTIFS($F$4:F12,U$3,$C$4:C12,4))*'設定・説明'!$B$12,-9999))</x:f>
      </x:c>
      <x:c r="V13" s="74" t="str">
        <x:f>IF($A13="","",IF($J13="人数希望一致",1,0))</x:f>
      </x:c>
    </x:row>
    <x:row r="14">
      <x:c r="A14" s="73" t="str">
        <x:f>IF('ラウンド入力'!A14="","",'ラウンド入力'!A14)</x:f>
      </x:c>
      <x:c r="B14" s="79" t="str">
        <x:f>IF('ラウンド入力'!A14="","",'ラウンド入力'!B14)</x:f>
      </x:c>
      <x:c r="C14" s="74" t="str">
        <x:f>IF('ラウンド入力'!A14="","",'ラウンド入力'!C14)</x:f>
      </x:c>
      <x:c r="D14" s="74" t="str">
        <x:f>IF('ラウンド入力'!A14="","",'ラウンド入力'!D14)</x:f>
      </x:c>
      <x:c r="E14" s="74" t="str">
        <x:f>IF('ラウンド入力'!A14="","",IF('ラウンド入力'!E14="",'設定・説明'!$B$6,'ラウンド入力'!E14))</x:f>
      </x:c>
      <x:c r="F14" s="74" t="str">
        <x:f>IF($A14="","",IF(COUNTIF(L14:U14,"&gt;-9999")=0,"未割当",INDEX($L$3:$U$3,1,MATCH(MAX(L14:U14),L14:U14,0))))</x:f>
      </x:c>
      <x:c r="G14" s="74" t="str">
        <x:f>IF(OR($F14="",$F14="未割当"),"",INDEX('キャディ条件'!$B$5:$B$14,MATCH($F14,'キャディ条件'!$A$5:$A$14,0)))</x:f>
      </x:c>
      <x:c r="H14" s="81" t="str">
        <x:f>IF($A14="","",$B14+$E14/1440)</x:f>
      </x:c>
      <x:c r="I14" s="81" t="str">
        <x:f>IF($A14="","",$H14+'設定・説明'!$B$7/1440)</x:f>
      </x:c>
      <x:c r="J14" s="85" t="str">
        <x:f>IF($A14="","",IF($F14="未割当","Hard条件を満たす候補なし",IF(INDEX('キャディ条件'!$H$5:$H$14,MATCH($F14,'キャディ条件'!$A$5:$A$14,0))=$C14,"人数希望一致",IF(AND(INDEX('キャディ条件'!$F$5:$F$14,MATCH($F14,'キャディ条件'!$A$5:$A$14,0))="はい",COUNTIF($F$5:$F$19,$F14)=2),"2ラウンド希望を考慮","公平性・残容量"))))</x:f>
      </x:c>
      <x:c r="K14" s="85" t="str">
        <x:f>IF($A14="","",IF($F14="未割当","要手動調整",""))</x:f>
      </x:c>
      <x:c r="L14" s="83" t="str">
        <x:f>IF(OR(L$3="",$A14=""),"",IF(AND(COUNTIF('キャディ条件'!$A$5:$A$14,L$3)=1,OR('キャディ条件'!$C$5="全日",AND('キャディ条件'!$C$5="土日",WEEKDAY($B14,2)&gt;=6),AND('キャディ条件'!$C$5="平日",WEEKDAY($B14,2)&lt;=5)),$C14&lt;='キャディ条件'!$G$5,OR('キャディ条件'!$J$5="全コース",'キャディ条件'!$J$5=$D14),COUNTIF($F$4:F13,L$3)&lt;'キャディ条件'!$D$5,OR(COUNTIF($F$4:F13,L$3)=0,'キャディ条件'!$E$5="はい"),COUNTIFS($F$4:F13,L$3,$I$4:I13,"&gt;"&amp;$B14)=0),100+IF('キャディ条件'!$H$5=$C14,'設定・説明'!$B$9,0)+IF(AND('キャディ条件'!$E$5="はい",'キャディ条件'!$F$5="はい",OR(COUNTIF($F$4:F13,L$3)=1,AND(COUNTIF($F$4:F13,L$3)=0,IF('キャディ条件'!$J$5="全コース",COUNTIFS('ラウンド入力'!$A$15:$A$19,"&lt;&gt;",'ラウンド入力'!$B$15:$B$19,"&gt;="&amp;($B14+$E14/1440+'設定・説明'!$B$7/1440),'ラウンド入力'!$C$15:$C$19,"&lt;="&amp;'キャディ条件'!$G$5),COUNTIFS('ラウンド入力'!$A$15:$A$19,"&lt;&gt;",'ラウンド入力'!$B$15:$B$19,"&gt;="&amp;($B14+$E14/1440+'設定・説明'!$B$7/1440),'ラウンド入力'!$C$15:$C$19,"&lt;="&amp;'キャディ条件'!$G$5,'ラウンド入力'!$D$15:$D$19,'キャディ条件'!$J$5))&gt;0))),'設定・説明'!$B$10,0)+IF(AND('キャディ条件'!$I$5="ベテラン",$C14=4),'設定・説明'!$B$13,0)-('キャディ条件'!$K$5+COUNTIF($F$4:F13,L$3))*'設定・説明'!$B$11-('キャディ条件'!$L$5+COUNTIFS($F$4:F13,L$3,$C$4:C13,4))*'設定・説明'!$B$12,-9999))</x:f>
      </x:c>
      <x:c r="M14" s="83" t="str">
        <x:f>IF(OR(M$3="",$A14=""),"",IF(AND(COUNTIF('キャディ条件'!$A$5:$A$14,M$3)=1,OR('キャディ条件'!$C$6="全日",AND('キャディ条件'!$C$6="土日",WEEKDAY($B14,2)&gt;=6),AND('キャディ条件'!$C$6="平日",WEEKDAY($B14,2)&lt;=5)),$C14&lt;='キャディ条件'!$G$6,OR('キャディ条件'!$J$6="全コース",'キャディ条件'!$J$6=$D14),COUNTIF($F$4:F13,M$3)&lt;'キャディ条件'!$D$6,OR(COUNTIF($F$4:F13,M$3)=0,'キャディ条件'!$E$6="はい"),COUNTIFS($F$4:F13,M$3,$I$4:I13,"&gt;"&amp;$B14)=0),100+IF('キャディ条件'!$H$6=$C14,'設定・説明'!$B$9,0)+IF(AND('キャディ条件'!$E$6="はい",'キャディ条件'!$F$6="はい",OR(COUNTIF($F$4:F13,M$3)=1,AND(COUNTIF($F$4:F13,M$3)=0,IF('キャディ条件'!$J$6="全コース",COUNTIFS('ラウンド入力'!$A$15:$A$19,"&lt;&gt;",'ラウンド入力'!$B$15:$B$19,"&gt;="&amp;($B14+$E14/1440+'設定・説明'!$B$7/1440),'ラウンド入力'!$C$15:$C$19,"&lt;="&amp;'キャディ条件'!$G$6),COUNTIFS('ラウンド入力'!$A$15:$A$19,"&lt;&gt;",'ラウンド入力'!$B$15:$B$19,"&gt;="&amp;($B14+$E14/1440+'設定・説明'!$B$7/1440),'ラウンド入力'!$C$15:$C$19,"&lt;="&amp;'キャディ条件'!$G$6,'ラウンド入力'!$D$15:$D$19,'キャディ条件'!$J$6))&gt;0))),'設定・説明'!$B$10,0)+IF(AND('キャディ条件'!$I$6="ベテラン",$C14=4),'設定・説明'!$B$13,0)-('キャディ条件'!$K$6+COUNTIF($F$4:F13,M$3))*'設定・説明'!$B$11-('キャディ条件'!$L$6+COUNTIFS($F$4:F13,M$3,$C$4:C13,4))*'設定・説明'!$B$12,-9999))</x:f>
      </x:c>
      <x:c r="N14" s="83" t="str">
        <x:f>IF(OR(N$3="",$A14=""),"",IF(AND(COUNTIF('キャディ条件'!$A$5:$A$14,N$3)=1,OR('キャディ条件'!$C$7="全日",AND('キャディ条件'!$C$7="土日",WEEKDAY($B14,2)&gt;=6),AND('キャディ条件'!$C$7="平日",WEEKDAY($B14,2)&lt;=5)),$C14&lt;='キャディ条件'!$G$7,OR('キャディ条件'!$J$7="全コース",'キャディ条件'!$J$7=$D14),COUNTIF($F$4:F13,N$3)&lt;'キャディ条件'!$D$7,OR(COUNTIF($F$4:F13,N$3)=0,'キャディ条件'!$E$7="はい"),COUNTIFS($F$4:F13,N$3,$I$4:I13,"&gt;"&amp;$B14)=0),100+IF('キャディ条件'!$H$7=$C14,'設定・説明'!$B$9,0)+IF(AND('キャディ条件'!$E$7="はい",'キャディ条件'!$F$7="はい",OR(COUNTIF($F$4:F13,N$3)=1,AND(COUNTIF($F$4:F13,N$3)=0,IF('キャディ条件'!$J$7="全コース",COUNTIFS('ラウンド入力'!$A$15:$A$19,"&lt;&gt;",'ラウンド入力'!$B$15:$B$19,"&gt;="&amp;($B14+$E14/1440+'設定・説明'!$B$7/1440),'ラウンド入力'!$C$15:$C$19,"&lt;="&amp;'キャディ条件'!$G$7),COUNTIFS('ラウンド入力'!$A$15:$A$19,"&lt;&gt;",'ラウンド入力'!$B$15:$B$19,"&gt;="&amp;($B14+$E14/1440+'設定・説明'!$B$7/1440),'ラウンド入力'!$C$15:$C$19,"&lt;="&amp;'キャディ条件'!$G$7,'ラウンド入力'!$D$15:$D$19,'キャディ条件'!$J$7))&gt;0))),'設定・説明'!$B$10,0)+IF(AND('キャディ条件'!$I$7="ベテラン",$C14=4),'設定・説明'!$B$13,0)-('キャディ条件'!$K$7+COUNTIF($F$4:F13,N$3))*'設定・説明'!$B$11-('キャディ条件'!$L$7+COUNTIFS($F$4:F13,N$3,$C$4:C13,4))*'設定・説明'!$B$12,-9999))</x:f>
      </x:c>
      <x:c r="O14" s="83" t="str">
        <x:f>IF(OR(O$3="",$A14=""),"",IF(AND(COUNTIF('キャディ条件'!$A$5:$A$14,O$3)=1,OR('キャディ条件'!$C$8="全日",AND('キャディ条件'!$C$8="土日",WEEKDAY($B14,2)&gt;=6),AND('キャディ条件'!$C$8="平日",WEEKDAY($B14,2)&lt;=5)),$C14&lt;='キャディ条件'!$G$8,OR('キャディ条件'!$J$8="全コース",'キャディ条件'!$J$8=$D14),COUNTIF($F$4:F13,O$3)&lt;'キャディ条件'!$D$8,OR(COUNTIF($F$4:F13,O$3)=0,'キャディ条件'!$E$8="はい"),COUNTIFS($F$4:F13,O$3,$I$4:I13,"&gt;"&amp;$B14)=0),100+IF('キャディ条件'!$H$8=$C14,'設定・説明'!$B$9,0)+IF(AND('キャディ条件'!$E$8="はい",'キャディ条件'!$F$8="はい",OR(COUNTIF($F$4:F13,O$3)=1,AND(COUNTIF($F$4:F13,O$3)=0,IF('キャディ条件'!$J$8="全コース",COUNTIFS('ラウンド入力'!$A$15:$A$19,"&lt;&gt;",'ラウンド入力'!$B$15:$B$19,"&gt;="&amp;($B14+$E14/1440+'設定・説明'!$B$7/1440),'ラウンド入力'!$C$15:$C$19,"&lt;="&amp;'キャディ条件'!$G$8),COUNTIFS('ラウンド入力'!$A$15:$A$19,"&lt;&gt;",'ラウンド入力'!$B$15:$B$19,"&gt;="&amp;($B14+$E14/1440+'設定・説明'!$B$7/1440),'ラウンド入力'!$C$15:$C$19,"&lt;="&amp;'キャディ条件'!$G$8,'ラウンド入力'!$D$15:$D$19,'キャディ条件'!$J$8))&gt;0))),'設定・説明'!$B$10,0)+IF(AND('キャディ条件'!$I$8="ベテラン",$C14=4),'設定・説明'!$B$13,0)-('キャディ条件'!$K$8+COUNTIF($F$4:F13,O$3))*'設定・説明'!$B$11-('キャディ条件'!$L$8+COUNTIFS($F$4:F13,O$3,$C$4:C13,4))*'設定・説明'!$B$12,-9999))</x:f>
      </x:c>
      <x:c r="P14" s="83" t="str">
        <x:f>IF(OR(P$3="",$A14=""),"",IF(AND(COUNTIF('キャディ条件'!$A$5:$A$14,P$3)=1,OR('キャディ条件'!$C$9="全日",AND('キャディ条件'!$C$9="土日",WEEKDAY($B14,2)&gt;=6),AND('キャディ条件'!$C$9="平日",WEEKDAY($B14,2)&lt;=5)),$C14&lt;='キャディ条件'!$G$9,OR('キャディ条件'!$J$9="全コース",'キャディ条件'!$J$9=$D14),COUNTIF($F$4:F13,P$3)&lt;'キャディ条件'!$D$9,OR(COUNTIF($F$4:F13,P$3)=0,'キャディ条件'!$E$9="はい"),COUNTIFS($F$4:F13,P$3,$I$4:I13,"&gt;"&amp;$B14)=0),100+IF('キャディ条件'!$H$9=$C14,'設定・説明'!$B$9,0)+IF(AND('キャディ条件'!$E$9="はい",'キャディ条件'!$F$9="はい",OR(COUNTIF($F$4:F13,P$3)=1,AND(COUNTIF($F$4:F13,P$3)=0,IF('キャディ条件'!$J$9="全コース",COUNTIFS('ラウンド入力'!$A$15:$A$19,"&lt;&gt;",'ラウンド入力'!$B$15:$B$19,"&gt;="&amp;($B14+$E14/1440+'設定・説明'!$B$7/1440),'ラウンド入力'!$C$15:$C$19,"&lt;="&amp;'キャディ条件'!$G$9),COUNTIFS('ラウンド入力'!$A$15:$A$19,"&lt;&gt;",'ラウンド入力'!$B$15:$B$19,"&gt;="&amp;($B14+$E14/1440+'設定・説明'!$B$7/1440),'ラウンド入力'!$C$15:$C$19,"&lt;="&amp;'キャディ条件'!$G$9,'ラウンド入力'!$D$15:$D$19,'キャディ条件'!$J$9))&gt;0))),'設定・説明'!$B$10,0)+IF(AND('キャディ条件'!$I$9="ベテラン",$C14=4),'設定・説明'!$B$13,0)-('キャディ条件'!$K$9+COUNTIF($F$4:F13,P$3))*'設定・説明'!$B$11-('キャディ条件'!$L$9+COUNTIFS($F$4:F13,P$3,$C$4:C13,4))*'設定・説明'!$B$12,-9999))</x:f>
      </x:c>
      <x:c r="Q14" s="83" t="str">
        <x:f>IF(OR(Q$3="",$A14=""),"",IF(AND(COUNTIF('キャディ条件'!$A$5:$A$14,Q$3)=1,OR('キャディ条件'!$C$10="全日",AND('キャディ条件'!$C$10="土日",WEEKDAY($B14,2)&gt;=6),AND('キャディ条件'!$C$10="平日",WEEKDAY($B14,2)&lt;=5)),$C14&lt;='キャディ条件'!$G$10,OR('キャディ条件'!$J$10="全コース",'キャディ条件'!$J$10=$D14),COUNTIF($F$4:F13,Q$3)&lt;'キャディ条件'!$D$10,OR(COUNTIF($F$4:F13,Q$3)=0,'キャディ条件'!$E$10="はい"),COUNTIFS($F$4:F13,Q$3,$I$4:I13,"&gt;"&amp;$B14)=0),100+IF('キャディ条件'!$H$10=$C14,'設定・説明'!$B$9,0)+IF(AND('キャディ条件'!$E$10="はい",'キャディ条件'!$F$10="はい",OR(COUNTIF($F$4:F13,Q$3)=1,AND(COUNTIF($F$4:F13,Q$3)=0,IF('キャディ条件'!$J$10="全コース",COUNTIFS('ラウンド入力'!$A$15:$A$19,"&lt;&gt;",'ラウンド入力'!$B$15:$B$19,"&gt;="&amp;($B14+$E14/1440+'設定・説明'!$B$7/1440),'ラウンド入力'!$C$15:$C$19,"&lt;="&amp;'キャディ条件'!$G$10),COUNTIFS('ラウンド入力'!$A$15:$A$19,"&lt;&gt;",'ラウンド入力'!$B$15:$B$19,"&gt;="&amp;($B14+$E14/1440+'設定・説明'!$B$7/1440),'ラウンド入力'!$C$15:$C$19,"&lt;="&amp;'キャディ条件'!$G$10,'ラウンド入力'!$D$15:$D$19,'キャディ条件'!$J$10))&gt;0))),'設定・説明'!$B$10,0)+IF(AND('キャディ条件'!$I$10="ベテラン",$C14=4),'設定・説明'!$B$13,0)-('キャディ条件'!$K$10+COUNTIF($F$4:F13,Q$3))*'設定・説明'!$B$11-('キャディ条件'!$L$10+COUNTIFS($F$4:F13,Q$3,$C$4:C13,4))*'設定・説明'!$B$12,-9999))</x:f>
      </x:c>
      <x:c r="R14" s="83" t="str">
        <x:f>IF(OR(R$3="",$A14=""),"",IF(AND(COUNTIF('キャディ条件'!$A$5:$A$14,R$3)=1,OR('キャディ条件'!$C$11="全日",AND('キャディ条件'!$C$11="土日",WEEKDAY($B14,2)&gt;=6),AND('キャディ条件'!$C$11="平日",WEEKDAY($B14,2)&lt;=5)),$C14&lt;='キャディ条件'!$G$11,OR('キャディ条件'!$J$11="全コース",'キャディ条件'!$J$11=$D14),COUNTIF($F$4:F13,R$3)&lt;'キャディ条件'!$D$11,OR(COUNTIF($F$4:F13,R$3)=0,'キャディ条件'!$E$11="はい"),COUNTIFS($F$4:F13,R$3,$I$4:I13,"&gt;"&amp;$B14)=0),100+IF('キャディ条件'!$H$11=$C14,'設定・説明'!$B$9,0)+IF(AND('キャディ条件'!$E$11="はい",'キャディ条件'!$F$11="はい",OR(COUNTIF($F$4:F13,R$3)=1,AND(COUNTIF($F$4:F13,R$3)=0,IF('キャディ条件'!$J$11="全コース",COUNTIFS('ラウンド入力'!$A$15:$A$19,"&lt;&gt;",'ラウンド入力'!$B$15:$B$19,"&gt;="&amp;($B14+$E14/1440+'設定・説明'!$B$7/1440),'ラウンド入力'!$C$15:$C$19,"&lt;="&amp;'キャディ条件'!$G$11),COUNTIFS('ラウンド入力'!$A$15:$A$19,"&lt;&gt;",'ラウンド入力'!$B$15:$B$19,"&gt;="&amp;($B14+$E14/1440+'設定・説明'!$B$7/1440),'ラウンド入力'!$C$15:$C$19,"&lt;="&amp;'キャディ条件'!$G$11,'ラウンド入力'!$D$15:$D$19,'キャディ条件'!$J$11))&gt;0))),'設定・説明'!$B$10,0)+IF(AND('キャディ条件'!$I$11="ベテラン",$C14=4),'設定・説明'!$B$13,0)-('キャディ条件'!$K$11+COUNTIF($F$4:F13,R$3))*'設定・説明'!$B$11-('キャディ条件'!$L$11+COUNTIFS($F$4:F13,R$3,$C$4:C13,4))*'設定・説明'!$B$12,-9999))</x:f>
      </x:c>
      <x:c r="S14" s="83" t="str">
        <x:f>IF(OR(S$3="",$A14=""),"",IF(AND(COUNTIF('キャディ条件'!$A$5:$A$14,S$3)=1,OR('キャディ条件'!$C$12="全日",AND('キャディ条件'!$C$12="土日",WEEKDAY($B14,2)&gt;=6),AND('キャディ条件'!$C$12="平日",WEEKDAY($B14,2)&lt;=5)),$C14&lt;='キャディ条件'!$G$12,OR('キャディ条件'!$J$12="全コース",'キャディ条件'!$J$12=$D14),COUNTIF($F$4:F13,S$3)&lt;'キャディ条件'!$D$12,OR(COUNTIF($F$4:F13,S$3)=0,'キャディ条件'!$E$12="はい"),COUNTIFS($F$4:F13,S$3,$I$4:I13,"&gt;"&amp;$B14)=0),100+IF('キャディ条件'!$H$12=$C14,'設定・説明'!$B$9,0)+IF(AND('キャディ条件'!$E$12="はい",'キャディ条件'!$F$12="はい",OR(COUNTIF($F$4:F13,S$3)=1,AND(COUNTIF($F$4:F13,S$3)=0,IF('キャディ条件'!$J$12="全コース",COUNTIFS('ラウンド入力'!$A$15:$A$19,"&lt;&gt;",'ラウンド入力'!$B$15:$B$19,"&gt;="&amp;($B14+$E14/1440+'設定・説明'!$B$7/1440),'ラウンド入力'!$C$15:$C$19,"&lt;="&amp;'キャディ条件'!$G$12),COUNTIFS('ラウンド入力'!$A$15:$A$19,"&lt;&gt;",'ラウンド入力'!$B$15:$B$19,"&gt;="&amp;($B14+$E14/1440+'設定・説明'!$B$7/1440),'ラウンド入力'!$C$15:$C$19,"&lt;="&amp;'キャディ条件'!$G$12,'ラウンド入力'!$D$15:$D$19,'キャディ条件'!$J$12))&gt;0))),'設定・説明'!$B$10,0)+IF(AND('キャディ条件'!$I$12="ベテラン",$C14=4),'設定・説明'!$B$13,0)-('キャディ条件'!$K$12+COUNTIF($F$4:F13,S$3))*'設定・説明'!$B$11-('キャディ条件'!$L$12+COUNTIFS($F$4:F13,S$3,$C$4:C13,4))*'設定・説明'!$B$12,-9999))</x:f>
      </x:c>
      <x:c r="T14" s="83" t="str">
        <x:f>IF(OR(T$3="",$A14=""),"",IF(AND(COUNTIF('キャディ条件'!$A$5:$A$14,T$3)=1,OR('キャディ条件'!$C$13="全日",AND('キャディ条件'!$C$13="土日",WEEKDAY($B14,2)&gt;=6),AND('キャディ条件'!$C$13="平日",WEEKDAY($B14,2)&lt;=5)),$C14&lt;='キャディ条件'!$G$13,OR('キャディ条件'!$J$13="全コース",'キャディ条件'!$J$13=$D14),COUNTIF($F$4:F13,T$3)&lt;'キャディ条件'!$D$13,OR(COUNTIF($F$4:F13,T$3)=0,'キャディ条件'!$E$13="はい"),COUNTIFS($F$4:F13,T$3,$I$4:I13,"&gt;"&amp;$B14)=0),100+IF('キャディ条件'!$H$13=$C14,'設定・説明'!$B$9,0)+IF(AND('キャディ条件'!$E$13="はい",'キャディ条件'!$F$13="はい",OR(COUNTIF($F$4:F13,T$3)=1,AND(COUNTIF($F$4:F13,T$3)=0,IF('キャディ条件'!$J$13="全コース",COUNTIFS('ラウンド入力'!$A$15:$A$19,"&lt;&gt;",'ラウンド入力'!$B$15:$B$19,"&gt;="&amp;($B14+$E14/1440+'設定・説明'!$B$7/1440),'ラウンド入力'!$C$15:$C$19,"&lt;="&amp;'キャディ条件'!$G$13),COUNTIFS('ラウンド入力'!$A$15:$A$19,"&lt;&gt;",'ラウンド入力'!$B$15:$B$19,"&gt;="&amp;($B14+$E14/1440+'設定・説明'!$B$7/1440),'ラウンド入力'!$C$15:$C$19,"&lt;="&amp;'キャディ条件'!$G$13,'ラウンド入力'!$D$15:$D$19,'キャディ条件'!$J$13))&gt;0))),'設定・説明'!$B$10,0)+IF(AND('キャディ条件'!$I$13="ベテラン",$C14=4),'設定・説明'!$B$13,0)-('キャディ条件'!$K$13+COUNTIF($F$4:F13,T$3))*'設定・説明'!$B$11-('キャディ条件'!$L$13+COUNTIFS($F$4:F13,T$3,$C$4:C13,4))*'設定・説明'!$B$12,-9999))</x:f>
      </x:c>
      <x:c r="U14" s="83" t="str">
        <x:f>IF(OR(U$3="",$A14=""),"",IF(AND(COUNTIF('キャディ条件'!$A$5:$A$14,U$3)=1,OR('キャディ条件'!$C$14="全日",AND('キャディ条件'!$C$14="土日",WEEKDAY($B14,2)&gt;=6),AND('キャディ条件'!$C$14="平日",WEEKDAY($B14,2)&lt;=5)),$C14&lt;='キャディ条件'!$G$14,OR('キャディ条件'!$J$14="全コース",'キャディ条件'!$J$14=$D14),COUNTIF($F$4:F13,U$3)&lt;'キャディ条件'!$D$14,OR(COUNTIF($F$4:F13,U$3)=0,'キャディ条件'!$E$14="はい"),COUNTIFS($F$4:F13,U$3,$I$4:I13,"&gt;"&amp;$B14)=0),100+IF('キャディ条件'!$H$14=$C14,'設定・説明'!$B$9,0)+IF(AND('キャディ条件'!$E$14="はい",'キャディ条件'!$F$14="はい",OR(COUNTIF($F$4:F13,U$3)=1,AND(COUNTIF($F$4:F13,U$3)=0,IF('キャディ条件'!$J$14="全コース",COUNTIFS('ラウンド入力'!$A$15:$A$19,"&lt;&gt;",'ラウンド入力'!$B$15:$B$19,"&gt;="&amp;($B14+$E14/1440+'設定・説明'!$B$7/1440),'ラウンド入力'!$C$15:$C$19,"&lt;="&amp;'キャディ条件'!$G$14),COUNTIFS('ラウンド入力'!$A$15:$A$19,"&lt;&gt;",'ラウンド入力'!$B$15:$B$19,"&gt;="&amp;($B14+$E14/1440+'設定・説明'!$B$7/1440),'ラウンド入力'!$C$15:$C$19,"&lt;="&amp;'キャディ条件'!$G$14,'ラウンド入力'!$D$15:$D$19,'キャディ条件'!$J$14))&gt;0))),'設定・説明'!$B$10,0)+IF(AND('キャディ条件'!$I$14="ベテラン",$C14=4),'設定・説明'!$B$13,0)-('キャディ条件'!$K$14+COUNTIF($F$4:F13,U$3))*'設定・説明'!$B$11-('キャディ条件'!$L$14+COUNTIFS($F$4:F13,U$3,$C$4:C13,4))*'設定・説明'!$B$12,-9999))</x:f>
      </x:c>
      <x:c r="V14" s="74" t="str">
        <x:f>IF($A14="","",IF($J14="人数希望一致",1,0))</x:f>
      </x:c>
    </x:row>
    <x:row r="15">
      <x:c r="A15" s="73" t="str">
        <x:f>IF('ラウンド入力'!A15="","",'ラウンド入力'!A15)</x:f>
      </x:c>
      <x:c r="B15" s="79" t="str">
        <x:f>IF('ラウンド入力'!A15="","",'ラウンド入力'!B15)</x:f>
      </x:c>
      <x:c r="C15" s="74" t="str">
        <x:f>IF('ラウンド入力'!A15="","",'ラウンド入力'!C15)</x:f>
      </x:c>
      <x:c r="D15" s="74" t="str">
        <x:f>IF('ラウンド入力'!A15="","",'ラウンド入力'!D15)</x:f>
      </x:c>
      <x:c r="E15" s="74" t="str">
        <x:f>IF('ラウンド入力'!A15="","",IF('ラウンド入力'!E15="",'設定・説明'!$B$6,'ラウンド入力'!E15))</x:f>
      </x:c>
      <x:c r="F15" s="74" t="str">
        <x:f>IF($A15="","",IF(COUNTIF(L15:U15,"&gt;-9999")=0,"未割当",INDEX($L$3:$U$3,1,MATCH(MAX(L15:U15),L15:U15,0))))</x:f>
      </x:c>
      <x:c r="G15" s="74" t="str">
        <x:f>IF(OR($F15="",$F15="未割当"),"",INDEX('キャディ条件'!$B$5:$B$14,MATCH($F15,'キャディ条件'!$A$5:$A$14,0)))</x:f>
      </x:c>
      <x:c r="H15" s="81" t="str">
        <x:f>IF($A15="","",$B15+$E15/1440)</x:f>
      </x:c>
      <x:c r="I15" s="81" t="str">
        <x:f>IF($A15="","",$H15+'設定・説明'!$B$7/1440)</x:f>
      </x:c>
      <x:c r="J15" s="85" t="str">
        <x:f>IF($A15="","",IF($F15="未割当","Hard条件を満たす候補なし",IF(INDEX('キャディ条件'!$H$5:$H$14,MATCH($F15,'キャディ条件'!$A$5:$A$14,0))=$C15,"人数希望一致",IF(AND(INDEX('キャディ条件'!$F$5:$F$14,MATCH($F15,'キャディ条件'!$A$5:$A$14,0))="はい",COUNTIF($F$5:$F$19,$F15)=2),"2ラウンド希望を考慮","公平性・残容量"))))</x:f>
      </x:c>
      <x:c r="K15" s="85" t="str">
        <x:f>IF($A15="","",IF($F15="未割当","要手動調整",""))</x:f>
      </x:c>
      <x:c r="L15" s="83" t="str">
        <x:f>IF(OR(L$3="",$A15=""),"",IF(AND(COUNTIF('キャディ条件'!$A$5:$A$14,L$3)=1,OR('キャディ条件'!$C$5="全日",AND('キャディ条件'!$C$5="土日",WEEKDAY($B15,2)&gt;=6),AND('キャディ条件'!$C$5="平日",WEEKDAY($B15,2)&lt;=5)),$C15&lt;='キャディ条件'!$G$5,OR('キャディ条件'!$J$5="全コース",'キャディ条件'!$J$5=$D15),COUNTIF($F$4:F14,L$3)&lt;'キャディ条件'!$D$5,OR(COUNTIF($F$4:F14,L$3)=0,'キャディ条件'!$E$5="はい"),COUNTIFS($F$4:F14,L$3,$I$4:I14,"&gt;"&amp;$B15)=0),100+IF('キャディ条件'!$H$5=$C15,'設定・説明'!$B$9,0)+IF(AND('キャディ条件'!$E$5="はい",'キャディ条件'!$F$5="はい",OR(COUNTIF($F$4:F14,L$3)=1,AND(COUNTIF($F$4:F14,L$3)=0,IF('キャディ条件'!$J$5="全コース",COUNTIFS('ラウンド入力'!$A$16:$A$19,"&lt;&gt;",'ラウンド入力'!$B$16:$B$19,"&gt;="&amp;($B15+$E15/1440+'設定・説明'!$B$7/1440),'ラウンド入力'!$C$16:$C$19,"&lt;="&amp;'キャディ条件'!$G$5),COUNTIFS('ラウンド入力'!$A$16:$A$19,"&lt;&gt;",'ラウンド入力'!$B$16:$B$19,"&gt;="&amp;($B15+$E15/1440+'設定・説明'!$B$7/1440),'ラウンド入力'!$C$16:$C$19,"&lt;="&amp;'キャディ条件'!$G$5,'ラウンド入力'!$D$16:$D$19,'キャディ条件'!$J$5))&gt;0))),'設定・説明'!$B$10,0)+IF(AND('キャディ条件'!$I$5="ベテラン",$C15=4),'設定・説明'!$B$13,0)-('キャディ条件'!$K$5+COUNTIF($F$4:F14,L$3))*'設定・説明'!$B$11-('キャディ条件'!$L$5+COUNTIFS($F$4:F14,L$3,$C$4:C14,4))*'設定・説明'!$B$12,-9999))</x:f>
      </x:c>
      <x:c r="M15" s="83" t="str">
        <x:f>IF(OR(M$3="",$A15=""),"",IF(AND(COUNTIF('キャディ条件'!$A$5:$A$14,M$3)=1,OR('キャディ条件'!$C$6="全日",AND('キャディ条件'!$C$6="土日",WEEKDAY($B15,2)&gt;=6),AND('キャディ条件'!$C$6="平日",WEEKDAY($B15,2)&lt;=5)),$C15&lt;='キャディ条件'!$G$6,OR('キャディ条件'!$J$6="全コース",'キャディ条件'!$J$6=$D15),COUNTIF($F$4:F14,M$3)&lt;'キャディ条件'!$D$6,OR(COUNTIF($F$4:F14,M$3)=0,'キャディ条件'!$E$6="はい"),COUNTIFS($F$4:F14,M$3,$I$4:I14,"&gt;"&amp;$B15)=0),100+IF('キャディ条件'!$H$6=$C15,'設定・説明'!$B$9,0)+IF(AND('キャディ条件'!$E$6="はい",'キャディ条件'!$F$6="はい",OR(COUNTIF($F$4:F14,M$3)=1,AND(COUNTIF($F$4:F14,M$3)=0,IF('キャディ条件'!$J$6="全コース",COUNTIFS('ラウンド入力'!$A$16:$A$19,"&lt;&gt;",'ラウンド入力'!$B$16:$B$19,"&gt;="&amp;($B15+$E15/1440+'設定・説明'!$B$7/1440),'ラウンド入力'!$C$16:$C$19,"&lt;="&amp;'キャディ条件'!$G$6),COUNTIFS('ラウンド入力'!$A$16:$A$19,"&lt;&gt;",'ラウンド入力'!$B$16:$B$19,"&gt;="&amp;($B15+$E15/1440+'設定・説明'!$B$7/1440),'ラウンド入力'!$C$16:$C$19,"&lt;="&amp;'キャディ条件'!$G$6,'ラウンド入力'!$D$16:$D$19,'キャディ条件'!$J$6))&gt;0))),'設定・説明'!$B$10,0)+IF(AND('キャディ条件'!$I$6="ベテラン",$C15=4),'設定・説明'!$B$13,0)-('キャディ条件'!$K$6+COUNTIF($F$4:F14,M$3))*'設定・説明'!$B$11-('キャディ条件'!$L$6+COUNTIFS($F$4:F14,M$3,$C$4:C14,4))*'設定・説明'!$B$12,-9999))</x:f>
      </x:c>
      <x:c r="N15" s="83" t="str">
        <x:f>IF(OR(N$3="",$A15=""),"",IF(AND(COUNTIF('キャディ条件'!$A$5:$A$14,N$3)=1,OR('キャディ条件'!$C$7="全日",AND('キャディ条件'!$C$7="土日",WEEKDAY($B15,2)&gt;=6),AND('キャディ条件'!$C$7="平日",WEEKDAY($B15,2)&lt;=5)),$C15&lt;='キャディ条件'!$G$7,OR('キャディ条件'!$J$7="全コース",'キャディ条件'!$J$7=$D15),COUNTIF($F$4:F14,N$3)&lt;'キャディ条件'!$D$7,OR(COUNTIF($F$4:F14,N$3)=0,'キャディ条件'!$E$7="はい"),COUNTIFS($F$4:F14,N$3,$I$4:I14,"&gt;"&amp;$B15)=0),100+IF('キャディ条件'!$H$7=$C15,'設定・説明'!$B$9,0)+IF(AND('キャディ条件'!$E$7="はい",'キャディ条件'!$F$7="はい",OR(COUNTIF($F$4:F14,N$3)=1,AND(COUNTIF($F$4:F14,N$3)=0,IF('キャディ条件'!$J$7="全コース",COUNTIFS('ラウンド入力'!$A$16:$A$19,"&lt;&gt;",'ラウンド入力'!$B$16:$B$19,"&gt;="&amp;($B15+$E15/1440+'設定・説明'!$B$7/1440),'ラウンド入力'!$C$16:$C$19,"&lt;="&amp;'キャディ条件'!$G$7),COUNTIFS('ラウンド入力'!$A$16:$A$19,"&lt;&gt;",'ラウンド入力'!$B$16:$B$19,"&gt;="&amp;($B15+$E15/1440+'設定・説明'!$B$7/1440),'ラウンド入力'!$C$16:$C$19,"&lt;="&amp;'キャディ条件'!$G$7,'ラウンド入力'!$D$16:$D$19,'キャディ条件'!$J$7))&gt;0))),'設定・説明'!$B$10,0)+IF(AND('キャディ条件'!$I$7="ベテラン",$C15=4),'設定・説明'!$B$13,0)-('キャディ条件'!$K$7+COUNTIF($F$4:F14,N$3))*'設定・説明'!$B$11-('キャディ条件'!$L$7+COUNTIFS($F$4:F14,N$3,$C$4:C14,4))*'設定・説明'!$B$12,-9999))</x:f>
      </x:c>
      <x:c r="O15" s="83" t="str">
        <x:f>IF(OR(O$3="",$A15=""),"",IF(AND(COUNTIF('キャディ条件'!$A$5:$A$14,O$3)=1,OR('キャディ条件'!$C$8="全日",AND('キャディ条件'!$C$8="土日",WEEKDAY($B15,2)&gt;=6),AND('キャディ条件'!$C$8="平日",WEEKDAY($B15,2)&lt;=5)),$C15&lt;='キャディ条件'!$G$8,OR('キャディ条件'!$J$8="全コース",'キャディ条件'!$J$8=$D15),COUNTIF($F$4:F14,O$3)&lt;'キャディ条件'!$D$8,OR(COUNTIF($F$4:F14,O$3)=0,'キャディ条件'!$E$8="はい"),COUNTIFS($F$4:F14,O$3,$I$4:I14,"&gt;"&amp;$B15)=0),100+IF('キャディ条件'!$H$8=$C15,'設定・説明'!$B$9,0)+IF(AND('キャディ条件'!$E$8="はい",'キャディ条件'!$F$8="はい",OR(COUNTIF($F$4:F14,O$3)=1,AND(COUNTIF($F$4:F14,O$3)=0,IF('キャディ条件'!$J$8="全コース",COUNTIFS('ラウンド入力'!$A$16:$A$19,"&lt;&gt;",'ラウンド入力'!$B$16:$B$19,"&gt;="&amp;($B15+$E15/1440+'設定・説明'!$B$7/1440),'ラウンド入力'!$C$16:$C$19,"&lt;="&amp;'キャディ条件'!$G$8),COUNTIFS('ラウンド入力'!$A$16:$A$19,"&lt;&gt;",'ラウンド入力'!$B$16:$B$19,"&gt;="&amp;($B15+$E15/1440+'設定・説明'!$B$7/1440),'ラウンド入力'!$C$16:$C$19,"&lt;="&amp;'キャディ条件'!$G$8,'ラウンド入力'!$D$16:$D$19,'キャディ条件'!$J$8))&gt;0))),'設定・説明'!$B$10,0)+IF(AND('キャディ条件'!$I$8="ベテラン",$C15=4),'設定・説明'!$B$13,0)-('キャディ条件'!$K$8+COUNTIF($F$4:F14,O$3))*'設定・説明'!$B$11-('キャディ条件'!$L$8+COUNTIFS($F$4:F14,O$3,$C$4:C14,4))*'設定・説明'!$B$12,-9999))</x:f>
      </x:c>
      <x:c r="P15" s="83" t="str">
        <x:f>IF(OR(P$3="",$A15=""),"",IF(AND(COUNTIF('キャディ条件'!$A$5:$A$14,P$3)=1,OR('キャディ条件'!$C$9="全日",AND('キャディ条件'!$C$9="土日",WEEKDAY($B15,2)&gt;=6),AND('キャディ条件'!$C$9="平日",WEEKDAY($B15,2)&lt;=5)),$C15&lt;='キャディ条件'!$G$9,OR('キャディ条件'!$J$9="全コース",'キャディ条件'!$J$9=$D15),COUNTIF($F$4:F14,P$3)&lt;'キャディ条件'!$D$9,OR(COUNTIF($F$4:F14,P$3)=0,'キャディ条件'!$E$9="はい"),COUNTIFS($F$4:F14,P$3,$I$4:I14,"&gt;"&amp;$B15)=0),100+IF('キャディ条件'!$H$9=$C15,'設定・説明'!$B$9,0)+IF(AND('キャディ条件'!$E$9="はい",'キャディ条件'!$F$9="はい",OR(COUNTIF($F$4:F14,P$3)=1,AND(COUNTIF($F$4:F14,P$3)=0,IF('キャディ条件'!$J$9="全コース",COUNTIFS('ラウンド入力'!$A$16:$A$19,"&lt;&gt;",'ラウンド入力'!$B$16:$B$19,"&gt;="&amp;($B15+$E15/1440+'設定・説明'!$B$7/1440),'ラウンド入力'!$C$16:$C$19,"&lt;="&amp;'キャディ条件'!$G$9),COUNTIFS('ラウンド入力'!$A$16:$A$19,"&lt;&gt;",'ラウンド入力'!$B$16:$B$19,"&gt;="&amp;($B15+$E15/1440+'設定・説明'!$B$7/1440),'ラウンド入力'!$C$16:$C$19,"&lt;="&amp;'キャディ条件'!$G$9,'ラウンド入力'!$D$16:$D$19,'キャディ条件'!$J$9))&gt;0))),'設定・説明'!$B$10,0)+IF(AND('キャディ条件'!$I$9="ベテラン",$C15=4),'設定・説明'!$B$13,0)-('キャディ条件'!$K$9+COUNTIF($F$4:F14,P$3))*'設定・説明'!$B$11-('キャディ条件'!$L$9+COUNTIFS($F$4:F14,P$3,$C$4:C14,4))*'設定・説明'!$B$12,-9999))</x:f>
      </x:c>
      <x:c r="Q15" s="83" t="str">
        <x:f>IF(OR(Q$3="",$A15=""),"",IF(AND(COUNTIF('キャディ条件'!$A$5:$A$14,Q$3)=1,OR('キャディ条件'!$C$10="全日",AND('キャディ条件'!$C$10="土日",WEEKDAY($B15,2)&gt;=6),AND('キャディ条件'!$C$10="平日",WEEKDAY($B15,2)&lt;=5)),$C15&lt;='キャディ条件'!$G$10,OR('キャディ条件'!$J$10="全コース",'キャディ条件'!$J$10=$D15),COUNTIF($F$4:F14,Q$3)&lt;'キャディ条件'!$D$10,OR(COUNTIF($F$4:F14,Q$3)=0,'キャディ条件'!$E$10="はい"),COUNTIFS($F$4:F14,Q$3,$I$4:I14,"&gt;"&amp;$B15)=0),100+IF('キャディ条件'!$H$10=$C15,'設定・説明'!$B$9,0)+IF(AND('キャディ条件'!$E$10="はい",'キャディ条件'!$F$10="はい",OR(COUNTIF($F$4:F14,Q$3)=1,AND(COUNTIF($F$4:F14,Q$3)=0,IF('キャディ条件'!$J$10="全コース",COUNTIFS('ラウンド入力'!$A$16:$A$19,"&lt;&gt;",'ラウンド入力'!$B$16:$B$19,"&gt;="&amp;($B15+$E15/1440+'設定・説明'!$B$7/1440),'ラウンド入力'!$C$16:$C$19,"&lt;="&amp;'キャディ条件'!$G$10),COUNTIFS('ラウンド入力'!$A$16:$A$19,"&lt;&gt;",'ラウンド入力'!$B$16:$B$19,"&gt;="&amp;($B15+$E15/1440+'設定・説明'!$B$7/1440),'ラウンド入力'!$C$16:$C$19,"&lt;="&amp;'キャディ条件'!$G$10,'ラウンド入力'!$D$16:$D$19,'キャディ条件'!$J$10))&gt;0))),'設定・説明'!$B$10,0)+IF(AND('キャディ条件'!$I$10="ベテラン",$C15=4),'設定・説明'!$B$13,0)-('キャディ条件'!$K$10+COUNTIF($F$4:F14,Q$3))*'設定・説明'!$B$11-('キャディ条件'!$L$10+COUNTIFS($F$4:F14,Q$3,$C$4:C14,4))*'設定・説明'!$B$12,-9999))</x:f>
      </x:c>
      <x:c r="R15" s="83" t="str">
        <x:f>IF(OR(R$3="",$A15=""),"",IF(AND(COUNTIF('キャディ条件'!$A$5:$A$14,R$3)=1,OR('キャディ条件'!$C$11="全日",AND('キャディ条件'!$C$11="土日",WEEKDAY($B15,2)&gt;=6),AND('キャディ条件'!$C$11="平日",WEEKDAY($B15,2)&lt;=5)),$C15&lt;='キャディ条件'!$G$11,OR('キャディ条件'!$J$11="全コース",'キャディ条件'!$J$11=$D15),COUNTIF($F$4:F14,R$3)&lt;'キャディ条件'!$D$11,OR(COUNTIF($F$4:F14,R$3)=0,'キャディ条件'!$E$11="はい"),COUNTIFS($F$4:F14,R$3,$I$4:I14,"&gt;"&amp;$B15)=0),100+IF('キャディ条件'!$H$11=$C15,'設定・説明'!$B$9,0)+IF(AND('キャディ条件'!$E$11="はい",'キャディ条件'!$F$11="はい",OR(COUNTIF($F$4:F14,R$3)=1,AND(COUNTIF($F$4:F14,R$3)=0,IF('キャディ条件'!$J$11="全コース",COUNTIFS('ラウンド入力'!$A$16:$A$19,"&lt;&gt;",'ラウンド入力'!$B$16:$B$19,"&gt;="&amp;($B15+$E15/1440+'設定・説明'!$B$7/1440),'ラウンド入力'!$C$16:$C$19,"&lt;="&amp;'キャディ条件'!$G$11),COUNTIFS('ラウンド入力'!$A$16:$A$19,"&lt;&gt;",'ラウンド入力'!$B$16:$B$19,"&gt;="&amp;($B15+$E15/1440+'設定・説明'!$B$7/1440),'ラウンド入力'!$C$16:$C$19,"&lt;="&amp;'キャディ条件'!$G$11,'ラウンド入力'!$D$16:$D$19,'キャディ条件'!$J$11))&gt;0))),'設定・説明'!$B$10,0)+IF(AND('キャディ条件'!$I$11="ベテラン",$C15=4),'設定・説明'!$B$13,0)-('キャディ条件'!$K$11+COUNTIF($F$4:F14,R$3))*'設定・説明'!$B$11-('キャディ条件'!$L$11+COUNTIFS($F$4:F14,R$3,$C$4:C14,4))*'設定・説明'!$B$12,-9999))</x:f>
      </x:c>
      <x:c r="S15" s="83" t="str">
        <x:f>IF(OR(S$3="",$A15=""),"",IF(AND(COUNTIF('キャディ条件'!$A$5:$A$14,S$3)=1,OR('キャディ条件'!$C$12="全日",AND('キャディ条件'!$C$12="土日",WEEKDAY($B15,2)&gt;=6),AND('キャディ条件'!$C$12="平日",WEEKDAY($B15,2)&lt;=5)),$C15&lt;='キャディ条件'!$G$12,OR('キャディ条件'!$J$12="全コース",'キャディ条件'!$J$12=$D15),COUNTIF($F$4:F14,S$3)&lt;'キャディ条件'!$D$12,OR(COUNTIF($F$4:F14,S$3)=0,'キャディ条件'!$E$12="はい"),COUNTIFS($F$4:F14,S$3,$I$4:I14,"&gt;"&amp;$B15)=0),100+IF('キャディ条件'!$H$12=$C15,'設定・説明'!$B$9,0)+IF(AND('キャディ条件'!$E$12="はい",'キャディ条件'!$F$12="はい",OR(COUNTIF($F$4:F14,S$3)=1,AND(COUNTIF($F$4:F14,S$3)=0,IF('キャディ条件'!$J$12="全コース",COUNTIFS('ラウンド入力'!$A$16:$A$19,"&lt;&gt;",'ラウンド入力'!$B$16:$B$19,"&gt;="&amp;($B15+$E15/1440+'設定・説明'!$B$7/1440),'ラウンド入力'!$C$16:$C$19,"&lt;="&amp;'キャディ条件'!$G$12),COUNTIFS('ラウンド入力'!$A$16:$A$19,"&lt;&gt;",'ラウンド入力'!$B$16:$B$19,"&gt;="&amp;($B15+$E15/1440+'設定・説明'!$B$7/1440),'ラウンド入力'!$C$16:$C$19,"&lt;="&amp;'キャディ条件'!$G$12,'ラウンド入力'!$D$16:$D$19,'キャディ条件'!$J$12))&gt;0))),'設定・説明'!$B$10,0)+IF(AND('キャディ条件'!$I$12="ベテラン",$C15=4),'設定・説明'!$B$13,0)-('キャディ条件'!$K$12+COUNTIF($F$4:F14,S$3))*'設定・説明'!$B$11-('キャディ条件'!$L$12+COUNTIFS($F$4:F14,S$3,$C$4:C14,4))*'設定・説明'!$B$12,-9999))</x:f>
      </x:c>
      <x:c r="T15" s="83" t="str">
        <x:f>IF(OR(T$3="",$A15=""),"",IF(AND(COUNTIF('キャディ条件'!$A$5:$A$14,T$3)=1,OR('キャディ条件'!$C$13="全日",AND('キャディ条件'!$C$13="土日",WEEKDAY($B15,2)&gt;=6),AND('キャディ条件'!$C$13="平日",WEEKDAY($B15,2)&lt;=5)),$C15&lt;='キャディ条件'!$G$13,OR('キャディ条件'!$J$13="全コース",'キャディ条件'!$J$13=$D15),COUNTIF($F$4:F14,T$3)&lt;'キャディ条件'!$D$13,OR(COUNTIF($F$4:F14,T$3)=0,'キャディ条件'!$E$13="はい"),COUNTIFS($F$4:F14,T$3,$I$4:I14,"&gt;"&amp;$B15)=0),100+IF('キャディ条件'!$H$13=$C15,'設定・説明'!$B$9,0)+IF(AND('キャディ条件'!$E$13="はい",'キャディ条件'!$F$13="はい",OR(COUNTIF($F$4:F14,T$3)=1,AND(COUNTIF($F$4:F14,T$3)=0,IF('キャディ条件'!$J$13="全コース",COUNTIFS('ラウンド入力'!$A$16:$A$19,"&lt;&gt;",'ラウンド入力'!$B$16:$B$19,"&gt;="&amp;($B15+$E15/1440+'設定・説明'!$B$7/1440),'ラウンド入力'!$C$16:$C$19,"&lt;="&amp;'キャディ条件'!$G$13),COUNTIFS('ラウンド入力'!$A$16:$A$19,"&lt;&gt;",'ラウンド入力'!$B$16:$B$19,"&gt;="&amp;($B15+$E15/1440+'設定・説明'!$B$7/1440),'ラウンド入力'!$C$16:$C$19,"&lt;="&amp;'キャディ条件'!$G$13,'ラウンド入力'!$D$16:$D$19,'キャディ条件'!$J$13))&gt;0))),'設定・説明'!$B$10,0)+IF(AND('キャディ条件'!$I$13="ベテラン",$C15=4),'設定・説明'!$B$13,0)-('キャディ条件'!$K$13+COUNTIF($F$4:F14,T$3))*'設定・説明'!$B$11-('キャディ条件'!$L$13+COUNTIFS($F$4:F14,T$3,$C$4:C14,4))*'設定・説明'!$B$12,-9999))</x:f>
      </x:c>
      <x:c r="U15" s="83" t="str">
        <x:f>IF(OR(U$3="",$A15=""),"",IF(AND(COUNTIF('キャディ条件'!$A$5:$A$14,U$3)=1,OR('キャディ条件'!$C$14="全日",AND('キャディ条件'!$C$14="土日",WEEKDAY($B15,2)&gt;=6),AND('キャディ条件'!$C$14="平日",WEEKDAY($B15,2)&lt;=5)),$C15&lt;='キャディ条件'!$G$14,OR('キャディ条件'!$J$14="全コース",'キャディ条件'!$J$14=$D15),COUNTIF($F$4:F14,U$3)&lt;'キャディ条件'!$D$14,OR(COUNTIF($F$4:F14,U$3)=0,'キャディ条件'!$E$14="はい"),COUNTIFS($F$4:F14,U$3,$I$4:I14,"&gt;"&amp;$B15)=0),100+IF('キャディ条件'!$H$14=$C15,'設定・説明'!$B$9,0)+IF(AND('キャディ条件'!$E$14="はい",'キャディ条件'!$F$14="はい",OR(COUNTIF($F$4:F14,U$3)=1,AND(COUNTIF($F$4:F14,U$3)=0,IF('キャディ条件'!$J$14="全コース",COUNTIFS('ラウンド入力'!$A$16:$A$19,"&lt;&gt;",'ラウンド入力'!$B$16:$B$19,"&gt;="&amp;($B15+$E15/1440+'設定・説明'!$B$7/1440),'ラウンド入力'!$C$16:$C$19,"&lt;="&amp;'キャディ条件'!$G$14),COUNTIFS('ラウンド入力'!$A$16:$A$19,"&lt;&gt;",'ラウンド入力'!$B$16:$B$19,"&gt;="&amp;($B15+$E15/1440+'設定・説明'!$B$7/1440),'ラウンド入力'!$C$16:$C$19,"&lt;="&amp;'キャディ条件'!$G$14,'ラウンド入力'!$D$16:$D$19,'キャディ条件'!$J$14))&gt;0))),'設定・説明'!$B$10,0)+IF(AND('キャディ条件'!$I$14="ベテラン",$C15=4),'設定・説明'!$B$13,0)-('キャディ条件'!$K$14+COUNTIF($F$4:F14,U$3))*'設定・説明'!$B$11-('キャディ条件'!$L$14+COUNTIFS($F$4:F14,U$3,$C$4:C14,4))*'設定・説明'!$B$12,-9999))</x:f>
      </x:c>
      <x:c r="V15" s="74" t="str">
        <x:f>IF($A15="","",IF($J15="人数希望一致",1,0))</x:f>
      </x:c>
    </x:row>
    <x:row r="16">
      <x:c r="A16" s="73" t="str">
        <x:f>IF('ラウンド入力'!A16="","",'ラウンド入力'!A16)</x:f>
      </x:c>
      <x:c r="B16" s="79" t="str">
        <x:f>IF('ラウンド入力'!A16="","",'ラウンド入力'!B16)</x:f>
      </x:c>
      <x:c r="C16" s="74" t="str">
        <x:f>IF('ラウンド入力'!A16="","",'ラウンド入力'!C16)</x:f>
      </x:c>
      <x:c r="D16" s="74" t="str">
        <x:f>IF('ラウンド入力'!A16="","",'ラウンド入力'!D16)</x:f>
      </x:c>
      <x:c r="E16" s="74" t="str">
        <x:f>IF('ラウンド入力'!A16="","",IF('ラウンド入力'!E16="",'設定・説明'!$B$6,'ラウンド入力'!E16))</x:f>
      </x:c>
      <x:c r="F16" s="74" t="str">
        <x:f>IF($A16="","",IF(COUNTIF(L16:U16,"&gt;-9999")=0,"未割当",INDEX($L$3:$U$3,1,MATCH(MAX(L16:U16),L16:U16,0))))</x:f>
      </x:c>
      <x:c r="G16" s="74" t="str">
        <x:f>IF(OR($F16="",$F16="未割当"),"",INDEX('キャディ条件'!$B$5:$B$14,MATCH($F16,'キャディ条件'!$A$5:$A$14,0)))</x:f>
      </x:c>
      <x:c r="H16" s="81" t="str">
        <x:f>IF($A16="","",$B16+$E16/1440)</x:f>
      </x:c>
      <x:c r="I16" s="81" t="str">
        <x:f>IF($A16="","",$H16+'設定・説明'!$B$7/1440)</x:f>
      </x:c>
      <x:c r="J16" s="85" t="str">
        <x:f>IF($A16="","",IF($F16="未割当","Hard条件を満たす候補なし",IF(INDEX('キャディ条件'!$H$5:$H$14,MATCH($F16,'キャディ条件'!$A$5:$A$14,0))=$C16,"人数希望一致",IF(AND(INDEX('キャディ条件'!$F$5:$F$14,MATCH($F16,'キャディ条件'!$A$5:$A$14,0))="はい",COUNTIF($F$5:$F$19,$F16)=2),"2ラウンド希望を考慮","公平性・残容量"))))</x:f>
      </x:c>
      <x:c r="K16" s="85" t="str">
        <x:f>IF($A16="","",IF($F16="未割当","要手動調整",""))</x:f>
      </x:c>
      <x:c r="L16" s="83" t="str">
        <x:f>IF(OR(L$3="",$A16=""),"",IF(AND(COUNTIF('キャディ条件'!$A$5:$A$14,L$3)=1,OR('キャディ条件'!$C$5="全日",AND('キャディ条件'!$C$5="土日",WEEKDAY($B16,2)&gt;=6),AND('キャディ条件'!$C$5="平日",WEEKDAY($B16,2)&lt;=5)),$C16&lt;='キャディ条件'!$G$5,OR('キャディ条件'!$J$5="全コース",'キャディ条件'!$J$5=$D16),COUNTIF($F$4:F15,L$3)&lt;'キャディ条件'!$D$5,OR(COUNTIF($F$4:F15,L$3)=0,'キャディ条件'!$E$5="はい"),COUNTIFS($F$4:F15,L$3,$I$4:I15,"&gt;"&amp;$B16)=0),100+IF('キャディ条件'!$H$5=$C16,'設定・説明'!$B$9,0)+IF(AND('キャディ条件'!$E$5="はい",'キャディ条件'!$F$5="はい",OR(COUNTIF($F$4:F15,L$3)=1,AND(COUNTIF($F$4:F15,L$3)=0,IF('キャディ条件'!$J$5="全コース",COUNTIFS('ラウンド入力'!$A$17:$A$19,"&lt;&gt;",'ラウンド入力'!$B$17:$B$19,"&gt;="&amp;($B16+$E16/1440+'設定・説明'!$B$7/1440),'ラウンド入力'!$C$17:$C$19,"&lt;="&amp;'キャディ条件'!$G$5),COUNTIFS('ラウンド入力'!$A$17:$A$19,"&lt;&gt;",'ラウンド入力'!$B$17:$B$19,"&gt;="&amp;($B16+$E16/1440+'設定・説明'!$B$7/1440),'ラウンド入力'!$C$17:$C$19,"&lt;="&amp;'キャディ条件'!$G$5,'ラウンド入力'!$D$17:$D$19,'キャディ条件'!$J$5))&gt;0))),'設定・説明'!$B$10,0)+IF(AND('キャディ条件'!$I$5="ベテラン",$C16=4),'設定・説明'!$B$13,0)-('キャディ条件'!$K$5+COUNTIF($F$4:F15,L$3))*'設定・説明'!$B$11-('キャディ条件'!$L$5+COUNTIFS($F$4:F15,L$3,$C$4:C15,4))*'設定・説明'!$B$12,-9999))</x:f>
      </x:c>
      <x:c r="M16" s="83" t="str">
        <x:f>IF(OR(M$3="",$A16=""),"",IF(AND(COUNTIF('キャディ条件'!$A$5:$A$14,M$3)=1,OR('キャディ条件'!$C$6="全日",AND('キャディ条件'!$C$6="土日",WEEKDAY($B16,2)&gt;=6),AND('キャディ条件'!$C$6="平日",WEEKDAY($B16,2)&lt;=5)),$C16&lt;='キャディ条件'!$G$6,OR('キャディ条件'!$J$6="全コース",'キャディ条件'!$J$6=$D16),COUNTIF($F$4:F15,M$3)&lt;'キャディ条件'!$D$6,OR(COUNTIF($F$4:F15,M$3)=0,'キャディ条件'!$E$6="はい"),COUNTIFS($F$4:F15,M$3,$I$4:I15,"&gt;"&amp;$B16)=0),100+IF('キャディ条件'!$H$6=$C16,'設定・説明'!$B$9,0)+IF(AND('キャディ条件'!$E$6="はい",'キャディ条件'!$F$6="はい",OR(COUNTIF($F$4:F15,M$3)=1,AND(COUNTIF($F$4:F15,M$3)=0,IF('キャディ条件'!$J$6="全コース",COUNTIFS('ラウンド入力'!$A$17:$A$19,"&lt;&gt;",'ラウンド入力'!$B$17:$B$19,"&gt;="&amp;($B16+$E16/1440+'設定・説明'!$B$7/1440),'ラウンド入力'!$C$17:$C$19,"&lt;="&amp;'キャディ条件'!$G$6),COUNTIFS('ラウンド入力'!$A$17:$A$19,"&lt;&gt;",'ラウンド入力'!$B$17:$B$19,"&gt;="&amp;($B16+$E16/1440+'設定・説明'!$B$7/1440),'ラウンド入力'!$C$17:$C$19,"&lt;="&amp;'キャディ条件'!$G$6,'ラウンド入力'!$D$17:$D$19,'キャディ条件'!$J$6))&gt;0))),'設定・説明'!$B$10,0)+IF(AND('キャディ条件'!$I$6="ベテラン",$C16=4),'設定・説明'!$B$13,0)-('キャディ条件'!$K$6+COUNTIF($F$4:F15,M$3))*'設定・説明'!$B$11-('キャディ条件'!$L$6+COUNTIFS($F$4:F15,M$3,$C$4:C15,4))*'設定・説明'!$B$12,-9999))</x:f>
      </x:c>
      <x:c r="N16" s="83" t="str">
        <x:f>IF(OR(N$3="",$A16=""),"",IF(AND(COUNTIF('キャディ条件'!$A$5:$A$14,N$3)=1,OR('キャディ条件'!$C$7="全日",AND('キャディ条件'!$C$7="土日",WEEKDAY($B16,2)&gt;=6),AND('キャディ条件'!$C$7="平日",WEEKDAY($B16,2)&lt;=5)),$C16&lt;='キャディ条件'!$G$7,OR('キャディ条件'!$J$7="全コース",'キャディ条件'!$J$7=$D16),COUNTIF($F$4:F15,N$3)&lt;'キャディ条件'!$D$7,OR(COUNTIF($F$4:F15,N$3)=0,'キャディ条件'!$E$7="はい"),COUNTIFS($F$4:F15,N$3,$I$4:I15,"&gt;"&amp;$B16)=0),100+IF('キャディ条件'!$H$7=$C16,'設定・説明'!$B$9,0)+IF(AND('キャディ条件'!$E$7="はい",'キャディ条件'!$F$7="はい",OR(COUNTIF($F$4:F15,N$3)=1,AND(COUNTIF($F$4:F15,N$3)=0,IF('キャディ条件'!$J$7="全コース",COUNTIFS('ラウンド入力'!$A$17:$A$19,"&lt;&gt;",'ラウンド入力'!$B$17:$B$19,"&gt;="&amp;($B16+$E16/1440+'設定・説明'!$B$7/1440),'ラウンド入力'!$C$17:$C$19,"&lt;="&amp;'キャディ条件'!$G$7),COUNTIFS('ラウンド入力'!$A$17:$A$19,"&lt;&gt;",'ラウンド入力'!$B$17:$B$19,"&gt;="&amp;($B16+$E16/1440+'設定・説明'!$B$7/1440),'ラウンド入力'!$C$17:$C$19,"&lt;="&amp;'キャディ条件'!$G$7,'ラウンド入力'!$D$17:$D$19,'キャディ条件'!$J$7))&gt;0))),'設定・説明'!$B$10,0)+IF(AND('キャディ条件'!$I$7="ベテラン",$C16=4),'設定・説明'!$B$13,0)-('キャディ条件'!$K$7+COUNTIF($F$4:F15,N$3))*'設定・説明'!$B$11-('キャディ条件'!$L$7+COUNTIFS($F$4:F15,N$3,$C$4:C15,4))*'設定・説明'!$B$12,-9999))</x:f>
      </x:c>
      <x:c r="O16" s="83" t="str">
        <x:f>IF(OR(O$3="",$A16=""),"",IF(AND(COUNTIF('キャディ条件'!$A$5:$A$14,O$3)=1,OR('キャディ条件'!$C$8="全日",AND('キャディ条件'!$C$8="土日",WEEKDAY($B16,2)&gt;=6),AND('キャディ条件'!$C$8="平日",WEEKDAY($B16,2)&lt;=5)),$C16&lt;='キャディ条件'!$G$8,OR('キャディ条件'!$J$8="全コース",'キャディ条件'!$J$8=$D16),COUNTIF($F$4:F15,O$3)&lt;'キャディ条件'!$D$8,OR(COUNTIF($F$4:F15,O$3)=0,'キャディ条件'!$E$8="はい"),COUNTIFS($F$4:F15,O$3,$I$4:I15,"&gt;"&amp;$B16)=0),100+IF('キャディ条件'!$H$8=$C16,'設定・説明'!$B$9,0)+IF(AND('キャディ条件'!$E$8="はい",'キャディ条件'!$F$8="はい",OR(COUNTIF($F$4:F15,O$3)=1,AND(COUNTIF($F$4:F15,O$3)=0,IF('キャディ条件'!$J$8="全コース",COUNTIFS('ラウンド入力'!$A$17:$A$19,"&lt;&gt;",'ラウンド入力'!$B$17:$B$19,"&gt;="&amp;($B16+$E16/1440+'設定・説明'!$B$7/1440),'ラウンド入力'!$C$17:$C$19,"&lt;="&amp;'キャディ条件'!$G$8),COUNTIFS('ラウンド入力'!$A$17:$A$19,"&lt;&gt;",'ラウンド入力'!$B$17:$B$19,"&gt;="&amp;($B16+$E16/1440+'設定・説明'!$B$7/1440),'ラウンド入力'!$C$17:$C$19,"&lt;="&amp;'キャディ条件'!$G$8,'ラウンド入力'!$D$17:$D$19,'キャディ条件'!$J$8))&gt;0))),'設定・説明'!$B$10,0)+IF(AND('キャディ条件'!$I$8="ベテラン",$C16=4),'設定・説明'!$B$13,0)-('キャディ条件'!$K$8+COUNTIF($F$4:F15,O$3))*'設定・説明'!$B$11-('キャディ条件'!$L$8+COUNTIFS($F$4:F15,O$3,$C$4:C15,4))*'設定・説明'!$B$12,-9999))</x:f>
      </x:c>
      <x:c r="P16" s="83" t="str">
        <x:f>IF(OR(P$3="",$A16=""),"",IF(AND(COUNTIF('キャディ条件'!$A$5:$A$14,P$3)=1,OR('キャディ条件'!$C$9="全日",AND('キャディ条件'!$C$9="土日",WEEKDAY($B16,2)&gt;=6),AND('キャディ条件'!$C$9="平日",WEEKDAY($B16,2)&lt;=5)),$C16&lt;='キャディ条件'!$G$9,OR('キャディ条件'!$J$9="全コース",'キャディ条件'!$J$9=$D16),COUNTIF($F$4:F15,P$3)&lt;'キャディ条件'!$D$9,OR(COUNTIF($F$4:F15,P$3)=0,'キャディ条件'!$E$9="はい"),COUNTIFS($F$4:F15,P$3,$I$4:I15,"&gt;"&amp;$B16)=0),100+IF('キャディ条件'!$H$9=$C16,'設定・説明'!$B$9,0)+IF(AND('キャディ条件'!$E$9="はい",'キャディ条件'!$F$9="はい",OR(COUNTIF($F$4:F15,P$3)=1,AND(COUNTIF($F$4:F15,P$3)=0,IF('キャディ条件'!$J$9="全コース",COUNTIFS('ラウンド入力'!$A$17:$A$19,"&lt;&gt;",'ラウンド入力'!$B$17:$B$19,"&gt;="&amp;($B16+$E16/1440+'設定・説明'!$B$7/1440),'ラウンド入力'!$C$17:$C$19,"&lt;="&amp;'キャディ条件'!$G$9),COUNTIFS('ラウンド入力'!$A$17:$A$19,"&lt;&gt;",'ラウンド入力'!$B$17:$B$19,"&gt;="&amp;($B16+$E16/1440+'設定・説明'!$B$7/1440),'ラウンド入力'!$C$17:$C$19,"&lt;="&amp;'キャディ条件'!$G$9,'ラウンド入力'!$D$17:$D$19,'キャディ条件'!$J$9))&gt;0))),'設定・説明'!$B$10,0)+IF(AND('キャディ条件'!$I$9="ベテラン",$C16=4),'設定・説明'!$B$13,0)-('キャディ条件'!$K$9+COUNTIF($F$4:F15,P$3))*'設定・説明'!$B$11-('キャディ条件'!$L$9+COUNTIFS($F$4:F15,P$3,$C$4:C15,4))*'設定・説明'!$B$12,-9999))</x:f>
      </x:c>
      <x:c r="Q16" s="83" t="str">
        <x:f>IF(OR(Q$3="",$A16=""),"",IF(AND(COUNTIF('キャディ条件'!$A$5:$A$14,Q$3)=1,OR('キャディ条件'!$C$10="全日",AND('キャディ条件'!$C$10="土日",WEEKDAY($B16,2)&gt;=6),AND('キャディ条件'!$C$10="平日",WEEKDAY($B16,2)&lt;=5)),$C16&lt;='キャディ条件'!$G$10,OR('キャディ条件'!$J$10="全コース",'キャディ条件'!$J$10=$D16),COUNTIF($F$4:F15,Q$3)&lt;'キャディ条件'!$D$10,OR(COUNTIF($F$4:F15,Q$3)=0,'キャディ条件'!$E$10="はい"),COUNTIFS($F$4:F15,Q$3,$I$4:I15,"&gt;"&amp;$B16)=0),100+IF('キャディ条件'!$H$10=$C16,'設定・説明'!$B$9,0)+IF(AND('キャディ条件'!$E$10="はい",'キャディ条件'!$F$10="はい",OR(COUNTIF($F$4:F15,Q$3)=1,AND(COUNTIF($F$4:F15,Q$3)=0,IF('キャディ条件'!$J$10="全コース",COUNTIFS('ラウンド入力'!$A$17:$A$19,"&lt;&gt;",'ラウンド入力'!$B$17:$B$19,"&gt;="&amp;($B16+$E16/1440+'設定・説明'!$B$7/1440),'ラウンド入力'!$C$17:$C$19,"&lt;="&amp;'キャディ条件'!$G$10),COUNTIFS('ラウンド入力'!$A$17:$A$19,"&lt;&gt;",'ラウンド入力'!$B$17:$B$19,"&gt;="&amp;($B16+$E16/1440+'設定・説明'!$B$7/1440),'ラウンド入力'!$C$17:$C$19,"&lt;="&amp;'キャディ条件'!$G$10,'ラウンド入力'!$D$17:$D$19,'キャディ条件'!$J$10))&gt;0))),'設定・説明'!$B$10,0)+IF(AND('キャディ条件'!$I$10="ベテラン",$C16=4),'設定・説明'!$B$13,0)-('キャディ条件'!$K$10+COUNTIF($F$4:F15,Q$3))*'設定・説明'!$B$11-('キャディ条件'!$L$10+COUNTIFS($F$4:F15,Q$3,$C$4:C15,4))*'設定・説明'!$B$12,-9999))</x:f>
      </x:c>
      <x:c r="R16" s="83" t="str">
        <x:f>IF(OR(R$3="",$A16=""),"",IF(AND(COUNTIF('キャディ条件'!$A$5:$A$14,R$3)=1,OR('キャディ条件'!$C$11="全日",AND('キャディ条件'!$C$11="土日",WEEKDAY($B16,2)&gt;=6),AND('キャディ条件'!$C$11="平日",WEEKDAY($B16,2)&lt;=5)),$C16&lt;='キャディ条件'!$G$11,OR('キャディ条件'!$J$11="全コース",'キャディ条件'!$J$11=$D16),COUNTIF($F$4:F15,R$3)&lt;'キャディ条件'!$D$11,OR(COUNTIF($F$4:F15,R$3)=0,'キャディ条件'!$E$11="はい"),COUNTIFS($F$4:F15,R$3,$I$4:I15,"&gt;"&amp;$B16)=0),100+IF('キャディ条件'!$H$11=$C16,'設定・説明'!$B$9,0)+IF(AND('キャディ条件'!$E$11="はい",'キャディ条件'!$F$11="はい",OR(COUNTIF($F$4:F15,R$3)=1,AND(COUNTIF($F$4:F15,R$3)=0,IF('キャディ条件'!$J$11="全コース",COUNTIFS('ラウンド入力'!$A$17:$A$19,"&lt;&gt;",'ラウンド入力'!$B$17:$B$19,"&gt;="&amp;($B16+$E16/1440+'設定・説明'!$B$7/1440),'ラウンド入力'!$C$17:$C$19,"&lt;="&amp;'キャディ条件'!$G$11),COUNTIFS('ラウンド入力'!$A$17:$A$19,"&lt;&gt;",'ラウンド入力'!$B$17:$B$19,"&gt;="&amp;($B16+$E16/1440+'設定・説明'!$B$7/1440),'ラウンド入力'!$C$17:$C$19,"&lt;="&amp;'キャディ条件'!$G$11,'ラウンド入力'!$D$17:$D$19,'キャディ条件'!$J$11))&gt;0))),'設定・説明'!$B$10,0)+IF(AND('キャディ条件'!$I$11="ベテラン",$C16=4),'設定・説明'!$B$13,0)-('キャディ条件'!$K$11+COUNTIF($F$4:F15,R$3))*'設定・説明'!$B$11-('キャディ条件'!$L$11+COUNTIFS($F$4:F15,R$3,$C$4:C15,4))*'設定・説明'!$B$12,-9999))</x:f>
      </x:c>
      <x:c r="S16" s="83" t="str">
        <x:f>IF(OR(S$3="",$A16=""),"",IF(AND(COUNTIF('キャディ条件'!$A$5:$A$14,S$3)=1,OR('キャディ条件'!$C$12="全日",AND('キャディ条件'!$C$12="土日",WEEKDAY($B16,2)&gt;=6),AND('キャディ条件'!$C$12="平日",WEEKDAY($B16,2)&lt;=5)),$C16&lt;='キャディ条件'!$G$12,OR('キャディ条件'!$J$12="全コース",'キャディ条件'!$J$12=$D16),COUNTIF($F$4:F15,S$3)&lt;'キャディ条件'!$D$12,OR(COUNTIF($F$4:F15,S$3)=0,'キャディ条件'!$E$12="はい"),COUNTIFS($F$4:F15,S$3,$I$4:I15,"&gt;"&amp;$B16)=0),100+IF('キャディ条件'!$H$12=$C16,'設定・説明'!$B$9,0)+IF(AND('キャディ条件'!$E$12="はい",'キャディ条件'!$F$12="はい",OR(COUNTIF($F$4:F15,S$3)=1,AND(COUNTIF($F$4:F15,S$3)=0,IF('キャディ条件'!$J$12="全コース",COUNTIFS('ラウンド入力'!$A$17:$A$19,"&lt;&gt;",'ラウンド入力'!$B$17:$B$19,"&gt;="&amp;($B16+$E16/1440+'設定・説明'!$B$7/1440),'ラウンド入力'!$C$17:$C$19,"&lt;="&amp;'キャディ条件'!$G$12),COUNTIFS('ラウンド入力'!$A$17:$A$19,"&lt;&gt;",'ラウンド入力'!$B$17:$B$19,"&gt;="&amp;($B16+$E16/1440+'設定・説明'!$B$7/1440),'ラウンド入力'!$C$17:$C$19,"&lt;="&amp;'キャディ条件'!$G$12,'ラウンド入力'!$D$17:$D$19,'キャディ条件'!$J$12))&gt;0))),'設定・説明'!$B$10,0)+IF(AND('キャディ条件'!$I$12="ベテラン",$C16=4),'設定・説明'!$B$13,0)-('キャディ条件'!$K$12+COUNTIF($F$4:F15,S$3))*'設定・説明'!$B$11-('キャディ条件'!$L$12+COUNTIFS($F$4:F15,S$3,$C$4:C15,4))*'設定・説明'!$B$12,-9999))</x:f>
      </x:c>
      <x:c r="T16" s="83" t="str">
        <x:f>IF(OR(T$3="",$A16=""),"",IF(AND(COUNTIF('キャディ条件'!$A$5:$A$14,T$3)=1,OR('キャディ条件'!$C$13="全日",AND('キャディ条件'!$C$13="土日",WEEKDAY($B16,2)&gt;=6),AND('キャディ条件'!$C$13="平日",WEEKDAY($B16,2)&lt;=5)),$C16&lt;='キャディ条件'!$G$13,OR('キャディ条件'!$J$13="全コース",'キャディ条件'!$J$13=$D16),COUNTIF($F$4:F15,T$3)&lt;'キャディ条件'!$D$13,OR(COUNTIF($F$4:F15,T$3)=0,'キャディ条件'!$E$13="はい"),COUNTIFS($F$4:F15,T$3,$I$4:I15,"&gt;"&amp;$B16)=0),100+IF('キャディ条件'!$H$13=$C16,'設定・説明'!$B$9,0)+IF(AND('キャディ条件'!$E$13="はい",'キャディ条件'!$F$13="はい",OR(COUNTIF($F$4:F15,T$3)=1,AND(COUNTIF($F$4:F15,T$3)=0,IF('キャディ条件'!$J$13="全コース",COUNTIFS('ラウンド入力'!$A$17:$A$19,"&lt;&gt;",'ラウンド入力'!$B$17:$B$19,"&gt;="&amp;($B16+$E16/1440+'設定・説明'!$B$7/1440),'ラウンド入力'!$C$17:$C$19,"&lt;="&amp;'キャディ条件'!$G$13),COUNTIFS('ラウンド入力'!$A$17:$A$19,"&lt;&gt;",'ラウンド入力'!$B$17:$B$19,"&gt;="&amp;($B16+$E16/1440+'設定・説明'!$B$7/1440),'ラウンド入力'!$C$17:$C$19,"&lt;="&amp;'キャディ条件'!$G$13,'ラウンド入力'!$D$17:$D$19,'キャディ条件'!$J$13))&gt;0))),'設定・説明'!$B$10,0)+IF(AND('キャディ条件'!$I$13="ベテラン",$C16=4),'設定・説明'!$B$13,0)-('キャディ条件'!$K$13+COUNTIF($F$4:F15,T$3))*'設定・説明'!$B$11-('キャディ条件'!$L$13+COUNTIFS($F$4:F15,T$3,$C$4:C15,4))*'設定・説明'!$B$12,-9999))</x:f>
      </x:c>
      <x:c r="U16" s="83" t="str">
        <x:f>IF(OR(U$3="",$A16=""),"",IF(AND(COUNTIF('キャディ条件'!$A$5:$A$14,U$3)=1,OR('キャディ条件'!$C$14="全日",AND('キャディ条件'!$C$14="土日",WEEKDAY($B16,2)&gt;=6),AND('キャディ条件'!$C$14="平日",WEEKDAY($B16,2)&lt;=5)),$C16&lt;='キャディ条件'!$G$14,OR('キャディ条件'!$J$14="全コース",'キャディ条件'!$J$14=$D16),COUNTIF($F$4:F15,U$3)&lt;'キャディ条件'!$D$14,OR(COUNTIF($F$4:F15,U$3)=0,'キャディ条件'!$E$14="はい"),COUNTIFS($F$4:F15,U$3,$I$4:I15,"&gt;"&amp;$B16)=0),100+IF('キャディ条件'!$H$14=$C16,'設定・説明'!$B$9,0)+IF(AND('キャディ条件'!$E$14="はい",'キャディ条件'!$F$14="はい",OR(COUNTIF($F$4:F15,U$3)=1,AND(COUNTIF($F$4:F15,U$3)=0,IF('キャディ条件'!$J$14="全コース",COUNTIFS('ラウンド入力'!$A$17:$A$19,"&lt;&gt;",'ラウンド入力'!$B$17:$B$19,"&gt;="&amp;($B16+$E16/1440+'設定・説明'!$B$7/1440),'ラウンド入力'!$C$17:$C$19,"&lt;="&amp;'キャディ条件'!$G$14),COUNTIFS('ラウンド入力'!$A$17:$A$19,"&lt;&gt;",'ラウンド入力'!$B$17:$B$19,"&gt;="&amp;($B16+$E16/1440+'設定・説明'!$B$7/1440),'ラウンド入力'!$C$17:$C$19,"&lt;="&amp;'キャディ条件'!$G$14,'ラウンド入力'!$D$17:$D$19,'キャディ条件'!$J$14))&gt;0))),'設定・説明'!$B$10,0)+IF(AND('キャディ条件'!$I$14="ベテラン",$C16=4),'設定・説明'!$B$13,0)-('キャディ条件'!$K$14+COUNTIF($F$4:F15,U$3))*'設定・説明'!$B$11-('キャディ条件'!$L$14+COUNTIFS($F$4:F15,U$3,$C$4:C15,4))*'設定・説明'!$B$12,-9999))</x:f>
      </x:c>
      <x:c r="V16" s="74" t="str">
        <x:f>IF($A16="","",IF($J16="人数希望一致",1,0))</x:f>
      </x:c>
    </x:row>
    <x:row r="17">
      <x:c r="A17" s="73" t="str">
        <x:f>IF('ラウンド入力'!A17="","",'ラウンド入力'!A17)</x:f>
      </x:c>
      <x:c r="B17" s="79" t="str">
        <x:f>IF('ラウンド入力'!A17="","",'ラウンド入力'!B17)</x:f>
      </x:c>
      <x:c r="C17" s="74" t="str">
        <x:f>IF('ラウンド入力'!A17="","",'ラウンド入力'!C17)</x:f>
      </x:c>
      <x:c r="D17" s="74" t="str">
        <x:f>IF('ラウンド入力'!A17="","",'ラウンド入力'!D17)</x:f>
      </x:c>
      <x:c r="E17" s="74" t="str">
        <x:f>IF('ラウンド入力'!A17="","",IF('ラウンド入力'!E17="",'設定・説明'!$B$6,'ラウンド入力'!E17))</x:f>
      </x:c>
      <x:c r="F17" s="74" t="str">
        <x:f>IF($A17="","",IF(COUNTIF(L17:U17,"&gt;-9999")=0,"未割当",INDEX($L$3:$U$3,1,MATCH(MAX(L17:U17),L17:U17,0))))</x:f>
      </x:c>
      <x:c r="G17" s="74" t="str">
        <x:f>IF(OR($F17="",$F17="未割当"),"",INDEX('キャディ条件'!$B$5:$B$14,MATCH($F17,'キャディ条件'!$A$5:$A$14,0)))</x:f>
      </x:c>
      <x:c r="H17" s="81" t="str">
        <x:f>IF($A17="","",$B17+$E17/1440)</x:f>
      </x:c>
      <x:c r="I17" s="81" t="str">
        <x:f>IF($A17="","",$H17+'設定・説明'!$B$7/1440)</x:f>
      </x:c>
      <x:c r="J17" s="85" t="str">
        <x:f>IF($A17="","",IF($F17="未割当","Hard条件を満たす候補なし",IF(INDEX('キャディ条件'!$H$5:$H$14,MATCH($F17,'キャディ条件'!$A$5:$A$14,0))=$C17,"人数希望一致",IF(AND(INDEX('キャディ条件'!$F$5:$F$14,MATCH($F17,'キャディ条件'!$A$5:$A$14,0))="はい",COUNTIF($F$5:$F$19,$F17)=2),"2ラウンド希望を考慮","公平性・残容量"))))</x:f>
      </x:c>
      <x:c r="K17" s="85" t="str">
        <x:f>IF($A17="","",IF($F17="未割当","要手動調整",""))</x:f>
      </x:c>
      <x:c r="L17" s="83" t="str">
        <x:f>IF(OR(L$3="",$A17=""),"",IF(AND(COUNTIF('キャディ条件'!$A$5:$A$14,L$3)=1,OR('キャディ条件'!$C$5="全日",AND('キャディ条件'!$C$5="土日",WEEKDAY($B17,2)&gt;=6),AND('キャディ条件'!$C$5="平日",WEEKDAY($B17,2)&lt;=5)),$C17&lt;='キャディ条件'!$G$5,OR('キャディ条件'!$J$5="全コース",'キャディ条件'!$J$5=$D17),COUNTIF($F$4:F16,L$3)&lt;'キャディ条件'!$D$5,OR(COUNTIF($F$4:F16,L$3)=0,'キャディ条件'!$E$5="はい"),COUNTIFS($F$4:F16,L$3,$I$4:I16,"&gt;"&amp;$B17)=0),100+IF('キャディ条件'!$H$5=$C17,'設定・説明'!$B$9,0)+IF(AND('キャディ条件'!$E$5="はい",'キャディ条件'!$F$5="はい",OR(COUNTIF($F$4:F16,L$3)=1,AND(COUNTIF($F$4:F16,L$3)=0,IF('キャディ条件'!$J$5="全コース",COUNTIFS('ラウンド入力'!$A$18:$A$19,"&lt;&gt;",'ラウンド入力'!$B$18:$B$19,"&gt;="&amp;($B17+$E17/1440+'設定・説明'!$B$7/1440),'ラウンド入力'!$C$18:$C$19,"&lt;="&amp;'キャディ条件'!$G$5),COUNTIFS('ラウンド入力'!$A$18:$A$19,"&lt;&gt;",'ラウンド入力'!$B$18:$B$19,"&gt;="&amp;($B17+$E17/1440+'設定・説明'!$B$7/1440),'ラウンド入力'!$C$18:$C$19,"&lt;="&amp;'キャディ条件'!$G$5,'ラウンド入力'!$D$18:$D$19,'キャディ条件'!$J$5))&gt;0))),'設定・説明'!$B$10,0)+IF(AND('キャディ条件'!$I$5="ベテラン",$C17=4),'設定・説明'!$B$13,0)-('キャディ条件'!$K$5+COUNTIF($F$4:F16,L$3))*'設定・説明'!$B$11-('キャディ条件'!$L$5+COUNTIFS($F$4:F16,L$3,$C$4:C16,4))*'設定・説明'!$B$12,-9999))</x:f>
      </x:c>
      <x:c r="M17" s="83" t="str">
        <x:f>IF(OR(M$3="",$A17=""),"",IF(AND(COUNTIF('キャディ条件'!$A$5:$A$14,M$3)=1,OR('キャディ条件'!$C$6="全日",AND('キャディ条件'!$C$6="土日",WEEKDAY($B17,2)&gt;=6),AND('キャディ条件'!$C$6="平日",WEEKDAY($B17,2)&lt;=5)),$C17&lt;='キャディ条件'!$G$6,OR('キャディ条件'!$J$6="全コース",'キャディ条件'!$J$6=$D17),COUNTIF($F$4:F16,M$3)&lt;'キャディ条件'!$D$6,OR(COUNTIF($F$4:F16,M$3)=0,'キャディ条件'!$E$6="はい"),COUNTIFS($F$4:F16,M$3,$I$4:I16,"&gt;"&amp;$B17)=0),100+IF('キャディ条件'!$H$6=$C17,'設定・説明'!$B$9,0)+IF(AND('キャディ条件'!$E$6="はい",'キャディ条件'!$F$6="はい",OR(COUNTIF($F$4:F16,M$3)=1,AND(COUNTIF($F$4:F16,M$3)=0,IF('キャディ条件'!$J$6="全コース",COUNTIFS('ラウンド入力'!$A$18:$A$19,"&lt;&gt;",'ラウンド入力'!$B$18:$B$19,"&gt;="&amp;($B17+$E17/1440+'設定・説明'!$B$7/1440),'ラウンド入力'!$C$18:$C$19,"&lt;="&amp;'キャディ条件'!$G$6),COUNTIFS('ラウンド入力'!$A$18:$A$19,"&lt;&gt;",'ラウンド入力'!$B$18:$B$19,"&gt;="&amp;($B17+$E17/1440+'設定・説明'!$B$7/1440),'ラウンド入力'!$C$18:$C$19,"&lt;="&amp;'キャディ条件'!$G$6,'ラウンド入力'!$D$18:$D$19,'キャディ条件'!$J$6))&gt;0))),'設定・説明'!$B$10,0)+IF(AND('キャディ条件'!$I$6="ベテラン",$C17=4),'設定・説明'!$B$13,0)-('キャディ条件'!$K$6+COUNTIF($F$4:F16,M$3))*'設定・説明'!$B$11-('キャディ条件'!$L$6+COUNTIFS($F$4:F16,M$3,$C$4:C16,4))*'設定・説明'!$B$12,-9999))</x:f>
      </x:c>
      <x:c r="N17" s="83" t="str">
        <x:f>IF(OR(N$3="",$A17=""),"",IF(AND(COUNTIF('キャディ条件'!$A$5:$A$14,N$3)=1,OR('キャディ条件'!$C$7="全日",AND('キャディ条件'!$C$7="土日",WEEKDAY($B17,2)&gt;=6),AND('キャディ条件'!$C$7="平日",WEEKDAY($B17,2)&lt;=5)),$C17&lt;='キャディ条件'!$G$7,OR('キャディ条件'!$J$7="全コース",'キャディ条件'!$J$7=$D17),COUNTIF($F$4:F16,N$3)&lt;'キャディ条件'!$D$7,OR(COUNTIF($F$4:F16,N$3)=0,'キャディ条件'!$E$7="はい"),COUNTIFS($F$4:F16,N$3,$I$4:I16,"&gt;"&amp;$B17)=0),100+IF('キャディ条件'!$H$7=$C17,'設定・説明'!$B$9,0)+IF(AND('キャディ条件'!$E$7="はい",'キャディ条件'!$F$7="はい",OR(COUNTIF($F$4:F16,N$3)=1,AND(COUNTIF($F$4:F16,N$3)=0,IF('キャディ条件'!$J$7="全コース",COUNTIFS('ラウンド入力'!$A$18:$A$19,"&lt;&gt;",'ラウンド入力'!$B$18:$B$19,"&gt;="&amp;($B17+$E17/1440+'設定・説明'!$B$7/1440),'ラウンド入力'!$C$18:$C$19,"&lt;="&amp;'キャディ条件'!$G$7),COUNTIFS('ラウンド入力'!$A$18:$A$19,"&lt;&gt;",'ラウンド入力'!$B$18:$B$19,"&gt;="&amp;($B17+$E17/1440+'設定・説明'!$B$7/1440),'ラウンド入力'!$C$18:$C$19,"&lt;="&amp;'キャディ条件'!$G$7,'ラウンド入力'!$D$18:$D$19,'キャディ条件'!$J$7))&gt;0))),'設定・説明'!$B$10,0)+IF(AND('キャディ条件'!$I$7="ベテラン",$C17=4),'設定・説明'!$B$13,0)-('キャディ条件'!$K$7+COUNTIF($F$4:F16,N$3))*'設定・説明'!$B$11-('キャディ条件'!$L$7+COUNTIFS($F$4:F16,N$3,$C$4:C16,4))*'設定・説明'!$B$12,-9999))</x:f>
      </x:c>
      <x:c r="O17" s="83" t="str">
        <x:f>IF(OR(O$3="",$A17=""),"",IF(AND(COUNTIF('キャディ条件'!$A$5:$A$14,O$3)=1,OR('キャディ条件'!$C$8="全日",AND('キャディ条件'!$C$8="土日",WEEKDAY($B17,2)&gt;=6),AND('キャディ条件'!$C$8="平日",WEEKDAY($B17,2)&lt;=5)),$C17&lt;='キャディ条件'!$G$8,OR('キャディ条件'!$J$8="全コース",'キャディ条件'!$J$8=$D17),COUNTIF($F$4:F16,O$3)&lt;'キャディ条件'!$D$8,OR(COUNTIF($F$4:F16,O$3)=0,'キャディ条件'!$E$8="はい"),COUNTIFS($F$4:F16,O$3,$I$4:I16,"&gt;"&amp;$B17)=0),100+IF('キャディ条件'!$H$8=$C17,'設定・説明'!$B$9,0)+IF(AND('キャディ条件'!$E$8="はい",'キャディ条件'!$F$8="はい",OR(COUNTIF($F$4:F16,O$3)=1,AND(COUNTIF($F$4:F16,O$3)=0,IF('キャディ条件'!$J$8="全コース",COUNTIFS('ラウンド入力'!$A$18:$A$19,"&lt;&gt;",'ラウンド入力'!$B$18:$B$19,"&gt;="&amp;($B17+$E17/1440+'設定・説明'!$B$7/1440),'ラウンド入力'!$C$18:$C$19,"&lt;="&amp;'キャディ条件'!$G$8),COUNTIFS('ラウンド入力'!$A$18:$A$19,"&lt;&gt;",'ラウンド入力'!$B$18:$B$19,"&gt;="&amp;($B17+$E17/1440+'設定・説明'!$B$7/1440),'ラウンド入力'!$C$18:$C$19,"&lt;="&amp;'キャディ条件'!$G$8,'ラウンド入力'!$D$18:$D$19,'キャディ条件'!$J$8))&gt;0))),'設定・説明'!$B$10,0)+IF(AND('キャディ条件'!$I$8="ベテラン",$C17=4),'設定・説明'!$B$13,0)-('キャディ条件'!$K$8+COUNTIF($F$4:F16,O$3))*'設定・説明'!$B$11-('キャディ条件'!$L$8+COUNTIFS($F$4:F16,O$3,$C$4:C16,4))*'設定・説明'!$B$12,-9999))</x:f>
      </x:c>
      <x:c r="P17" s="83" t="str">
        <x:f>IF(OR(P$3="",$A17=""),"",IF(AND(COUNTIF('キャディ条件'!$A$5:$A$14,P$3)=1,OR('キャディ条件'!$C$9="全日",AND('キャディ条件'!$C$9="土日",WEEKDAY($B17,2)&gt;=6),AND('キャディ条件'!$C$9="平日",WEEKDAY($B17,2)&lt;=5)),$C17&lt;='キャディ条件'!$G$9,OR('キャディ条件'!$J$9="全コース",'キャディ条件'!$J$9=$D17),COUNTIF($F$4:F16,P$3)&lt;'キャディ条件'!$D$9,OR(COUNTIF($F$4:F16,P$3)=0,'キャディ条件'!$E$9="はい"),COUNTIFS($F$4:F16,P$3,$I$4:I16,"&gt;"&amp;$B17)=0),100+IF('キャディ条件'!$H$9=$C17,'設定・説明'!$B$9,0)+IF(AND('キャディ条件'!$E$9="はい",'キャディ条件'!$F$9="はい",OR(COUNTIF($F$4:F16,P$3)=1,AND(COUNTIF($F$4:F16,P$3)=0,IF('キャディ条件'!$J$9="全コース",COUNTIFS('ラウンド入力'!$A$18:$A$19,"&lt;&gt;",'ラウンド入力'!$B$18:$B$19,"&gt;="&amp;($B17+$E17/1440+'設定・説明'!$B$7/1440),'ラウンド入力'!$C$18:$C$19,"&lt;="&amp;'キャディ条件'!$G$9),COUNTIFS('ラウンド入力'!$A$18:$A$19,"&lt;&gt;",'ラウンド入力'!$B$18:$B$19,"&gt;="&amp;($B17+$E17/1440+'設定・説明'!$B$7/1440),'ラウンド入力'!$C$18:$C$19,"&lt;="&amp;'キャディ条件'!$G$9,'ラウンド入力'!$D$18:$D$19,'キャディ条件'!$J$9))&gt;0))),'設定・説明'!$B$10,0)+IF(AND('キャディ条件'!$I$9="ベテラン",$C17=4),'設定・説明'!$B$13,0)-('キャディ条件'!$K$9+COUNTIF($F$4:F16,P$3))*'設定・説明'!$B$11-('キャディ条件'!$L$9+COUNTIFS($F$4:F16,P$3,$C$4:C16,4))*'設定・説明'!$B$12,-9999))</x:f>
      </x:c>
      <x:c r="Q17" s="83" t="str">
        <x:f>IF(OR(Q$3="",$A17=""),"",IF(AND(COUNTIF('キャディ条件'!$A$5:$A$14,Q$3)=1,OR('キャディ条件'!$C$10="全日",AND('キャディ条件'!$C$10="土日",WEEKDAY($B17,2)&gt;=6),AND('キャディ条件'!$C$10="平日",WEEKDAY($B17,2)&lt;=5)),$C17&lt;='キャディ条件'!$G$10,OR('キャディ条件'!$J$10="全コース",'キャディ条件'!$J$10=$D17),COUNTIF($F$4:F16,Q$3)&lt;'キャディ条件'!$D$10,OR(COUNTIF($F$4:F16,Q$3)=0,'キャディ条件'!$E$10="はい"),COUNTIFS($F$4:F16,Q$3,$I$4:I16,"&gt;"&amp;$B17)=0),100+IF('キャディ条件'!$H$10=$C17,'設定・説明'!$B$9,0)+IF(AND('キャディ条件'!$E$10="はい",'キャディ条件'!$F$10="はい",OR(COUNTIF($F$4:F16,Q$3)=1,AND(COUNTIF($F$4:F16,Q$3)=0,IF('キャディ条件'!$J$10="全コース",COUNTIFS('ラウンド入力'!$A$18:$A$19,"&lt;&gt;",'ラウンド入力'!$B$18:$B$19,"&gt;="&amp;($B17+$E17/1440+'設定・説明'!$B$7/1440),'ラウンド入力'!$C$18:$C$19,"&lt;="&amp;'キャディ条件'!$G$10),COUNTIFS('ラウンド入力'!$A$18:$A$19,"&lt;&gt;",'ラウンド入力'!$B$18:$B$19,"&gt;="&amp;($B17+$E17/1440+'設定・説明'!$B$7/1440),'ラウンド入力'!$C$18:$C$19,"&lt;="&amp;'キャディ条件'!$G$10,'ラウンド入力'!$D$18:$D$19,'キャディ条件'!$J$10))&gt;0))),'設定・説明'!$B$10,0)+IF(AND('キャディ条件'!$I$10="ベテラン",$C17=4),'設定・説明'!$B$13,0)-('キャディ条件'!$K$10+COUNTIF($F$4:F16,Q$3))*'設定・説明'!$B$11-('キャディ条件'!$L$10+COUNTIFS($F$4:F16,Q$3,$C$4:C16,4))*'設定・説明'!$B$12,-9999))</x:f>
      </x:c>
      <x:c r="R17" s="83" t="str">
        <x:f>IF(OR(R$3="",$A17=""),"",IF(AND(COUNTIF('キャディ条件'!$A$5:$A$14,R$3)=1,OR('キャディ条件'!$C$11="全日",AND('キャディ条件'!$C$11="土日",WEEKDAY($B17,2)&gt;=6),AND('キャディ条件'!$C$11="平日",WEEKDAY($B17,2)&lt;=5)),$C17&lt;='キャディ条件'!$G$11,OR('キャディ条件'!$J$11="全コース",'キャディ条件'!$J$11=$D17),COUNTIF($F$4:F16,R$3)&lt;'キャディ条件'!$D$11,OR(COUNTIF($F$4:F16,R$3)=0,'キャディ条件'!$E$11="はい"),COUNTIFS($F$4:F16,R$3,$I$4:I16,"&gt;"&amp;$B17)=0),100+IF('キャディ条件'!$H$11=$C17,'設定・説明'!$B$9,0)+IF(AND('キャディ条件'!$E$11="はい",'キャディ条件'!$F$11="はい",OR(COUNTIF($F$4:F16,R$3)=1,AND(COUNTIF($F$4:F16,R$3)=0,IF('キャディ条件'!$J$11="全コース",COUNTIFS('ラウンド入力'!$A$18:$A$19,"&lt;&gt;",'ラウンド入力'!$B$18:$B$19,"&gt;="&amp;($B17+$E17/1440+'設定・説明'!$B$7/1440),'ラウンド入力'!$C$18:$C$19,"&lt;="&amp;'キャディ条件'!$G$11),COUNTIFS('ラウンド入力'!$A$18:$A$19,"&lt;&gt;",'ラウンド入力'!$B$18:$B$19,"&gt;="&amp;($B17+$E17/1440+'設定・説明'!$B$7/1440),'ラウンド入力'!$C$18:$C$19,"&lt;="&amp;'キャディ条件'!$G$11,'ラウンド入力'!$D$18:$D$19,'キャディ条件'!$J$11))&gt;0))),'設定・説明'!$B$10,0)+IF(AND('キャディ条件'!$I$11="ベテラン",$C17=4),'設定・説明'!$B$13,0)-('キャディ条件'!$K$11+COUNTIF($F$4:F16,R$3))*'設定・説明'!$B$11-('キャディ条件'!$L$11+COUNTIFS($F$4:F16,R$3,$C$4:C16,4))*'設定・説明'!$B$12,-9999))</x:f>
      </x:c>
      <x:c r="S17" s="83" t="str">
        <x:f>IF(OR(S$3="",$A17=""),"",IF(AND(COUNTIF('キャディ条件'!$A$5:$A$14,S$3)=1,OR('キャディ条件'!$C$12="全日",AND('キャディ条件'!$C$12="土日",WEEKDAY($B17,2)&gt;=6),AND('キャディ条件'!$C$12="平日",WEEKDAY($B17,2)&lt;=5)),$C17&lt;='キャディ条件'!$G$12,OR('キャディ条件'!$J$12="全コース",'キャディ条件'!$J$12=$D17),COUNTIF($F$4:F16,S$3)&lt;'キャディ条件'!$D$12,OR(COUNTIF($F$4:F16,S$3)=0,'キャディ条件'!$E$12="はい"),COUNTIFS($F$4:F16,S$3,$I$4:I16,"&gt;"&amp;$B17)=0),100+IF('キャディ条件'!$H$12=$C17,'設定・説明'!$B$9,0)+IF(AND('キャディ条件'!$E$12="はい",'キャディ条件'!$F$12="はい",OR(COUNTIF($F$4:F16,S$3)=1,AND(COUNTIF($F$4:F16,S$3)=0,IF('キャディ条件'!$J$12="全コース",COUNTIFS('ラウンド入力'!$A$18:$A$19,"&lt;&gt;",'ラウンド入力'!$B$18:$B$19,"&gt;="&amp;($B17+$E17/1440+'設定・説明'!$B$7/1440),'ラウンド入力'!$C$18:$C$19,"&lt;="&amp;'キャディ条件'!$G$12),COUNTIFS('ラウンド入力'!$A$18:$A$19,"&lt;&gt;",'ラウンド入力'!$B$18:$B$19,"&gt;="&amp;($B17+$E17/1440+'設定・説明'!$B$7/1440),'ラウンド入力'!$C$18:$C$19,"&lt;="&amp;'キャディ条件'!$G$12,'ラウンド入力'!$D$18:$D$19,'キャディ条件'!$J$12))&gt;0))),'設定・説明'!$B$10,0)+IF(AND('キャディ条件'!$I$12="ベテラン",$C17=4),'設定・説明'!$B$13,0)-('キャディ条件'!$K$12+COUNTIF($F$4:F16,S$3))*'設定・説明'!$B$11-('キャディ条件'!$L$12+COUNTIFS($F$4:F16,S$3,$C$4:C16,4))*'設定・説明'!$B$12,-9999))</x:f>
      </x:c>
      <x:c r="T17" s="83" t="str">
        <x:f>IF(OR(T$3="",$A17=""),"",IF(AND(COUNTIF('キャディ条件'!$A$5:$A$14,T$3)=1,OR('キャディ条件'!$C$13="全日",AND('キャディ条件'!$C$13="土日",WEEKDAY($B17,2)&gt;=6),AND('キャディ条件'!$C$13="平日",WEEKDAY($B17,2)&lt;=5)),$C17&lt;='キャディ条件'!$G$13,OR('キャディ条件'!$J$13="全コース",'キャディ条件'!$J$13=$D17),COUNTIF($F$4:F16,T$3)&lt;'キャディ条件'!$D$13,OR(COUNTIF($F$4:F16,T$3)=0,'キャディ条件'!$E$13="はい"),COUNTIFS($F$4:F16,T$3,$I$4:I16,"&gt;"&amp;$B17)=0),100+IF('キャディ条件'!$H$13=$C17,'設定・説明'!$B$9,0)+IF(AND('キャディ条件'!$E$13="はい",'キャディ条件'!$F$13="はい",OR(COUNTIF($F$4:F16,T$3)=1,AND(COUNTIF($F$4:F16,T$3)=0,IF('キャディ条件'!$J$13="全コース",COUNTIFS('ラウンド入力'!$A$18:$A$19,"&lt;&gt;",'ラウンド入力'!$B$18:$B$19,"&gt;="&amp;($B17+$E17/1440+'設定・説明'!$B$7/1440),'ラウンド入力'!$C$18:$C$19,"&lt;="&amp;'キャディ条件'!$G$13),COUNTIFS('ラウンド入力'!$A$18:$A$19,"&lt;&gt;",'ラウンド入力'!$B$18:$B$19,"&gt;="&amp;($B17+$E17/1440+'設定・説明'!$B$7/1440),'ラウンド入力'!$C$18:$C$19,"&lt;="&amp;'キャディ条件'!$G$13,'ラウンド入力'!$D$18:$D$19,'キャディ条件'!$J$13))&gt;0))),'設定・説明'!$B$10,0)+IF(AND('キャディ条件'!$I$13="ベテラン",$C17=4),'設定・説明'!$B$13,0)-('キャディ条件'!$K$13+COUNTIF($F$4:F16,T$3))*'設定・説明'!$B$11-('キャディ条件'!$L$13+COUNTIFS($F$4:F16,T$3,$C$4:C16,4))*'設定・説明'!$B$12,-9999))</x:f>
      </x:c>
      <x:c r="U17" s="83" t="str">
        <x:f>IF(OR(U$3="",$A17=""),"",IF(AND(COUNTIF('キャディ条件'!$A$5:$A$14,U$3)=1,OR('キャディ条件'!$C$14="全日",AND('キャディ条件'!$C$14="土日",WEEKDAY($B17,2)&gt;=6),AND('キャディ条件'!$C$14="平日",WEEKDAY($B17,2)&lt;=5)),$C17&lt;='キャディ条件'!$G$14,OR('キャディ条件'!$J$14="全コース",'キャディ条件'!$J$14=$D17),COUNTIF($F$4:F16,U$3)&lt;'キャディ条件'!$D$14,OR(COUNTIF($F$4:F16,U$3)=0,'キャディ条件'!$E$14="はい"),COUNTIFS($F$4:F16,U$3,$I$4:I16,"&gt;"&amp;$B17)=0),100+IF('キャディ条件'!$H$14=$C17,'設定・説明'!$B$9,0)+IF(AND('キャディ条件'!$E$14="はい",'キャディ条件'!$F$14="はい",OR(COUNTIF($F$4:F16,U$3)=1,AND(COUNTIF($F$4:F16,U$3)=0,IF('キャディ条件'!$J$14="全コース",COUNTIFS('ラウンド入力'!$A$18:$A$19,"&lt;&gt;",'ラウンド入力'!$B$18:$B$19,"&gt;="&amp;($B17+$E17/1440+'設定・説明'!$B$7/1440),'ラウンド入力'!$C$18:$C$19,"&lt;="&amp;'キャディ条件'!$G$14),COUNTIFS('ラウンド入力'!$A$18:$A$19,"&lt;&gt;",'ラウンド入力'!$B$18:$B$19,"&gt;="&amp;($B17+$E17/1440+'設定・説明'!$B$7/1440),'ラウンド入力'!$C$18:$C$19,"&lt;="&amp;'キャディ条件'!$G$14,'ラウンド入力'!$D$18:$D$19,'キャディ条件'!$J$14))&gt;0))),'設定・説明'!$B$10,0)+IF(AND('キャディ条件'!$I$14="ベテラン",$C17=4),'設定・説明'!$B$13,0)-('キャディ条件'!$K$14+COUNTIF($F$4:F16,U$3))*'設定・説明'!$B$11-('キャディ条件'!$L$14+COUNTIFS($F$4:F16,U$3,$C$4:C16,4))*'設定・説明'!$B$12,-9999))</x:f>
      </x:c>
      <x:c r="V17" s="74" t="str">
        <x:f>IF($A17="","",IF($J17="人数希望一致",1,0))</x:f>
      </x:c>
    </x:row>
    <x:row r="18">
      <x:c r="A18" s="73" t="str">
        <x:f>IF('ラウンド入力'!A18="","",'ラウンド入力'!A18)</x:f>
      </x:c>
      <x:c r="B18" s="79" t="str">
        <x:f>IF('ラウンド入力'!A18="","",'ラウンド入力'!B18)</x:f>
      </x:c>
      <x:c r="C18" s="74" t="str">
        <x:f>IF('ラウンド入力'!A18="","",'ラウンド入力'!C18)</x:f>
      </x:c>
      <x:c r="D18" s="74" t="str">
        <x:f>IF('ラウンド入力'!A18="","",'ラウンド入力'!D18)</x:f>
      </x:c>
      <x:c r="E18" s="74" t="str">
        <x:f>IF('ラウンド入力'!A18="","",IF('ラウンド入力'!E18="",'設定・説明'!$B$6,'ラウンド入力'!E18))</x:f>
      </x:c>
      <x:c r="F18" s="74" t="str">
        <x:f>IF($A18="","",IF(COUNTIF(L18:U18,"&gt;-9999")=0,"未割当",INDEX($L$3:$U$3,1,MATCH(MAX(L18:U18),L18:U18,0))))</x:f>
      </x:c>
      <x:c r="G18" s="74" t="str">
        <x:f>IF(OR($F18="",$F18="未割当"),"",INDEX('キャディ条件'!$B$5:$B$14,MATCH($F18,'キャディ条件'!$A$5:$A$14,0)))</x:f>
      </x:c>
      <x:c r="H18" s="81" t="str">
        <x:f>IF($A18="","",$B18+$E18/1440)</x:f>
      </x:c>
      <x:c r="I18" s="81" t="str">
        <x:f>IF($A18="","",$H18+'設定・説明'!$B$7/1440)</x:f>
      </x:c>
      <x:c r="J18" s="85" t="str">
        <x:f>IF($A18="","",IF($F18="未割当","Hard条件を満たす候補なし",IF(INDEX('キャディ条件'!$H$5:$H$14,MATCH($F18,'キャディ条件'!$A$5:$A$14,0))=$C18,"人数希望一致",IF(AND(INDEX('キャディ条件'!$F$5:$F$14,MATCH($F18,'キャディ条件'!$A$5:$A$14,0))="はい",COUNTIF($F$5:$F$19,$F18)=2),"2ラウンド希望を考慮","公平性・残容量"))))</x:f>
      </x:c>
      <x:c r="K18" s="85" t="str">
        <x:f>IF($A18="","",IF($F18="未割当","要手動調整",""))</x:f>
      </x:c>
      <x:c r="L18" s="83" t="str">
        <x:f>IF(OR(L$3="",$A18=""),"",IF(AND(COUNTIF('キャディ条件'!$A$5:$A$14,L$3)=1,OR('キャディ条件'!$C$5="全日",AND('キャディ条件'!$C$5="土日",WEEKDAY($B18,2)&gt;=6),AND('キャディ条件'!$C$5="平日",WEEKDAY($B18,2)&lt;=5)),$C18&lt;='キャディ条件'!$G$5,OR('キャディ条件'!$J$5="全コース",'キャディ条件'!$J$5=$D18),COUNTIF($F$4:F17,L$3)&lt;'キャディ条件'!$D$5,OR(COUNTIF($F$4:F17,L$3)=0,'キャディ条件'!$E$5="はい"),COUNTIFS($F$4:F17,L$3,$I$4:I17,"&gt;"&amp;$B18)=0),100+IF('キャディ条件'!$H$5=$C18,'設定・説明'!$B$9,0)+IF(AND('キャディ条件'!$E$5="はい",'キャディ条件'!$F$5="はい",OR(COUNTIF($F$4:F17,L$3)=1,AND(COUNTIF($F$4:F17,L$3)=0,IF('キャディ条件'!$J$5="全コース",COUNTIFS('ラウンド入力'!$A$19:$A$19,"&lt;&gt;",'ラウンド入力'!$B$19:$B$19,"&gt;="&amp;($B18+$E18/1440+'設定・説明'!$B$7/1440),'ラウンド入力'!$C$19:$C$19,"&lt;="&amp;'キャディ条件'!$G$5),COUNTIFS('ラウンド入力'!$A$19:$A$19,"&lt;&gt;",'ラウンド入力'!$B$19:$B$19,"&gt;="&amp;($B18+$E18/1440+'設定・説明'!$B$7/1440),'ラウンド入力'!$C$19:$C$19,"&lt;="&amp;'キャディ条件'!$G$5,'ラウンド入力'!$D$19:$D$19,'キャディ条件'!$J$5))&gt;0))),'設定・説明'!$B$10,0)+IF(AND('キャディ条件'!$I$5="ベテラン",$C18=4),'設定・説明'!$B$13,0)-('キャディ条件'!$K$5+COUNTIF($F$4:F17,L$3))*'設定・説明'!$B$11-('キャディ条件'!$L$5+COUNTIFS($F$4:F17,L$3,$C$4:C17,4))*'設定・説明'!$B$12,-9999))</x:f>
      </x:c>
      <x:c r="M18" s="83" t="str">
        <x:f>IF(OR(M$3="",$A18=""),"",IF(AND(COUNTIF('キャディ条件'!$A$5:$A$14,M$3)=1,OR('キャディ条件'!$C$6="全日",AND('キャディ条件'!$C$6="土日",WEEKDAY($B18,2)&gt;=6),AND('キャディ条件'!$C$6="平日",WEEKDAY($B18,2)&lt;=5)),$C18&lt;='キャディ条件'!$G$6,OR('キャディ条件'!$J$6="全コース",'キャディ条件'!$J$6=$D18),COUNTIF($F$4:F17,M$3)&lt;'キャディ条件'!$D$6,OR(COUNTIF($F$4:F17,M$3)=0,'キャディ条件'!$E$6="はい"),COUNTIFS($F$4:F17,M$3,$I$4:I17,"&gt;"&amp;$B18)=0),100+IF('キャディ条件'!$H$6=$C18,'設定・説明'!$B$9,0)+IF(AND('キャディ条件'!$E$6="はい",'キャディ条件'!$F$6="はい",OR(COUNTIF($F$4:F17,M$3)=1,AND(COUNTIF($F$4:F17,M$3)=0,IF('キャディ条件'!$J$6="全コース",COUNTIFS('ラウンド入力'!$A$19:$A$19,"&lt;&gt;",'ラウンド入力'!$B$19:$B$19,"&gt;="&amp;($B18+$E18/1440+'設定・説明'!$B$7/1440),'ラウンド入力'!$C$19:$C$19,"&lt;="&amp;'キャディ条件'!$G$6),COUNTIFS('ラウンド入力'!$A$19:$A$19,"&lt;&gt;",'ラウンド入力'!$B$19:$B$19,"&gt;="&amp;($B18+$E18/1440+'設定・説明'!$B$7/1440),'ラウンド入力'!$C$19:$C$19,"&lt;="&amp;'キャディ条件'!$G$6,'ラウンド入力'!$D$19:$D$19,'キャディ条件'!$J$6))&gt;0))),'設定・説明'!$B$10,0)+IF(AND('キャディ条件'!$I$6="ベテラン",$C18=4),'設定・説明'!$B$13,0)-('キャディ条件'!$K$6+COUNTIF($F$4:F17,M$3))*'設定・説明'!$B$11-('キャディ条件'!$L$6+COUNTIFS($F$4:F17,M$3,$C$4:C17,4))*'設定・説明'!$B$12,-9999))</x:f>
      </x:c>
      <x:c r="N18" s="83" t="str">
        <x:f>IF(OR(N$3="",$A18=""),"",IF(AND(COUNTIF('キャディ条件'!$A$5:$A$14,N$3)=1,OR('キャディ条件'!$C$7="全日",AND('キャディ条件'!$C$7="土日",WEEKDAY($B18,2)&gt;=6),AND('キャディ条件'!$C$7="平日",WEEKDAY($B18,2)&lt;=5)),$C18&lt;='キャディ条件'!$G$7,OR('キャディ条件'!$J$7="全コース",'キャディ条件'!$J$7=$D18),COUNTIF($F$4:F17,N$3)&lt;'キャディ条件'!$D$7,OR(COUNTIF($F$4:F17,N$3)=0,'キャディ条件'!$E$7="はい"),COUNTIFS($F$4:F17,N$3,$I$4:I17,"&gt;"&amp;$B18)=0),100+IF('キャディ条件'!$H$7=$C18,'設定・説明'!$B$9,0)+IF(AND('キャディ条件'!$E$7="はい",'キャディ条件'!$F$7="はい",OR(COUNTIF($F$4:F17,N$3)=1,AND(COUNTIF($F$4:F17,N$3)=0,IF('キャディ条件'!$J$7="全コース",COUNTIFS('ラウンド入力'!$A$19:$A$19,"&lt;&gt;",'ラウンド入力'!$B$19:$B$19,"&gt;="&amp;($B18+$E18/1440+'設定・説明'!$B$7/1440),'ラウンド入力'!$C$19:$C$19,"&lt;="&amp;'キャディ条件'!$G$7),COUNTIFS('ラウンド入力'!$A$19:$A$19,"&lt;&gt;",'ラウンド入力'!$B$19:$B$19,"&gt;="&amp;($B18+$E18/1440+'設定・説明'!$B$7/1440),'ラウンド入力'!$C$19:$C$19,"&lt;="&amp;'キャディ条件'!$G$7,'ラウンド入力'!$D$19:$D$19,'キャディ条件'!$J$7))&gt;0))),'設定・説明'!$B$10,0)+IF(AND('キャディ条件'!$I$7="ベテラン",$C18=4),'設定・説明'!$B$13,0)-('キャディ条件'!$K$7+COUNTIF($F$4:F17,N$3))*'設定・説明'!$B$11-('キャディ条件'!$L$7+COUNTIFS($F$4:F17,N$3,$C$4:C17,4))*'設定・説明'!$B$12,-9999))</x:f>
      </x:c>
      <x:c r="O18" s="83" t="str">
        <x:f>IF(OR(O$3="",$A18=""),"",IF(AND(COUNTIF('キャディ条件'!$A$5:$A$14,O$3)=1,OR('キャディ条件'!$C$8="全日",AND('キャディ条件'!$C$8="土日",WEEKDAY($B18,2)&gt;=6),AND('キャディ条件'!$C$8="平日",WEEKDAY($B18,2)&lt;=5)),$C18&lt;='キャディ条件'!$G$8,OR('キャディ条件'!$J$8="全コース",'キャディ条件'!$J$8=$D18),COUNTIF($F$4:F17,O$3)&lt;'キャディ条件'!$D$8,OR(COUNTIF($F$4:F17,O$3)=0,'キャディ条件'!$E$8="はい"),COUNTIFS($F$4:F17,O$3,$I$4:I17,"&gt;"&amp;$B18)=0),100+IF('キャディ条件'!$H$8=$C18,'設定・説明'!$B$9,0)+IF(AND('キャディ条件'!$E$8="はい",'キャディ条件'!$F$8="はい",OR(COUNTIF($F$4:F17,O$3)=1,AND(COUNTIF($F$4:F17,O$3)=0,IF('キャディ条件'!$J$8="全コース",COUNTIFS('ラウンド入力'!$A$19:$A$19,"&lt;&gt;",'ラウンド入力'!$B$19:$B$19,"&gt;="&amp;($B18+$E18/1440+'設定・説明'!$B$7/1440),'ラウンド入力'!$C$19:$C$19,"&lt;="&amp;'キャディ条件'!$G$8),COUNTIFS('ラウンド入力'!$A$19:$A$19,"&lt;&gt;",'ラウンド入力'!$B$19:$B$19,"&gt;="&amp;($B18+$E18/1440+'設定・説明'!$B$7/1440),'ラウンド入力'!$C$19:$C$19,"&lt;="&amp;'キャディ条件'!$G$8,'ラウンド入力'!$D$19:$D$19,'キャディ条件'!$J$8))&gt;0))),'設定・説明'!$B$10,0)+IF(AND('キャディ条件'!$I$8="ベテラン",$C18=4),'設定・説明'!$B$13,0)-('キャディ条件'!$K$8+COUNTIF($F$4:F17,O$3))*'設定・説明'!$B$11-('キャディ条件'!$L$8+COUNTIFS($F$4:F17,O$3,$C$4:C17,4))*'設定・説明'!$B$12,-9999))</x:f>
      </x:c>
      <x:c r="P18" s="83" t="str">
        <x:f>IF(OR(P$3="",$A18=""),"",IF(AND(COUNTIF('キャディ条件'!$A$5:$A$14,P$3)=1,OR('キャディ条件'!$C$9="全日",AND('キャディ条件'!$C$9="土日",WEEKDAY($B18,2)&gt;=6),AND('キャディ条件'!$C$9="平日",WEEKDAY($B18,2)&lt;=5)),$C18&lt;='キャディ条件'!$G$9,OR('キャディ条件'!$J$9="全コース",'キャディ条件'!$J$9=$D18),COUNTIF($F$4:F17,P$3)&lt;'キャディ条件'!$D$9,OR(COUNTIF($F$4:F17,P$3)=0,'キャディ条件'!$E$9="はい"),COUNTIFS($F$4:F17,P$3,$I$4:I17,"&gt;"&amp;$B18)=0),100+IF('キャディ条件'!$H$9=$C18,'設定・説明'!$B$9,0)+IF(AND('キャディ条件'!$E$9="はい",'キャディ条件'!$F$9="はい",OR(COUNTIF($F$4:F17,P$3)=1,AND(COUNTIF($F$4:F17,P$3)=0,IF('キャディ条件'!$J$9="全コース",COUNTIFS('ラウンド入力'!$A$19:$A$19,"&lt;&gt;",'ラウンド入力'!$B$19:$B$19,"&gt;="&amp;($B18+$E18/1440+'設定・説明'!$B$7/1440),'ラウンド入力'!$C$19:$C$19,"&lt;="&amp;'キャディ条件'!$G$9),COUNTIFS('ラウンド入力'!$A$19:$A$19,"&lt;&gt;",'ラウンド入力'!$B$19:$B$19,"&gt;="&amp;($B18+$E18/1440+'設定・説明'!$B$7/1440),'ラウンド入力'!$C$19:$C$19,"&lt;="&amp;'キャディ条件'!$G$9,'ラウンド入力'!$D$19:$D$19,'キャディ条件'!$J$9))&gt;0))),'設定・説明'!$B$10,0)+IF(AND('キャディ条件'!$I$9="ベテラン",$C18=4),'設定・説明'!$B$13,0)-('キャディ条件'!$K$9+COUNTIF($F$4:F17,P$3))*'設定・説明'!$B$11-('キャディ条件'!$L$9+COUNTIFS($F$4:F17,P$3,$C$4:C17,4))*'設定・説明'!$B$12,-9999))</x:f>
      </x:c>
      <x:c r="Q18" s="83" t="str">
        <x:f>IF(OR(Q$3="",$A18=""),"",IF(AND(COUNTIF('キャディ条件'!$A$5:$A$14,Q$3)=1,OR('キャディ条件'!$C$10="全日",AND('キャディ条件'!$C$10="土日",WEEKDAY($B18,2)&gt;=6),AND('キャディ条件'!$C$10="平日",WEEKDAY($B18,2)&lt;=5)),$C18&lt;='キャディ条件'!$G$10,OR('キャディ条件'!$J$10="全コース",'キャディ条件'!$J$10=$D18),COUNTIF($F$4:F17,Q$3)&lt;'キャディ条件'!$D$10,OR(COUNTIF($F$4:F17,Q$3)=0,'キャディ条件'!$E$10="はい"),COUNTIFS($F$4:F17,Q$3,$I$4:I17,"&gt;"&amp;$B18)=0),100+IF('キャディ条件'!$H$10=$C18,'設定・説明'!$B$9,0)+IF(AND('キャディ条件'!$E$10="はい",'キャディ条件'!$F$10="はい",OR(COUNTIF($F$4:F17,Q$3)=1,AND(COUNTIF($F$4:F17,Q$3)=0,IF('キャディ条件'!$J$10="全コース",COUNTIFS('ラウンド入力'!$A$19:$A$19,"&lt;&gt;",'ラウンド入力'!$B$19:$B$19,"&gt;="&amp;($B18+$E18/1440+'設定・説明'!$B$7/1440),'ラウンド入力'!$C$19:$C$19,"&lt;="&amp;'キャディ条件'!$G$10),COUNTIFS('ラウンド入力'!$A$19:$A$19,"&lt;&gt;",'ラウンド入力'!$B$19:$B$19,"&gt;="&amp;($B18+$E18/1440+'設定・説明'!$B$7/1440),'ラウンド入力'!$C$19:$C$19,"&lt;="&amp;'キャディ条件'!$G$10,'ラウンド入力'!$D$19:$D$19,'キャディ条件'!$J$10))&gt;0))),'設定・説明'!$B$10,0)+IF(AND('キャディ条件'!$I$10="ベテラン",$C18=4),'設定・説明'!$B$13,0)-('キャディ条件'!$K$10+COUNTIF($F$4:F17,Q$3))*'設定・説明'!$B$11-('キャディ条件'!$L$10+COUNTIFS($F$4:F17,Q$3,$C$4:C17,4))*'設定・説明'!$B$12,-9999))</x:f>
      </x:c>
      <x:c r="R18" s="83" t="str">
        <x:f>IF(OR(R$3="",$A18=""),"",IF(AND(COUNTIF('キャディ条件'!$A$5:$A$14,R$3)=1,OR('キャディ条件'!$C$11="全日",AND('キャディ条件'!$C$11="土日",WEEKDAY($B18,2)&gt;=6),AND('キャディ条件'!$C$11="平日",WEEKDAY($B18,2)&lt;=5)),$C18&lt;='キャディ条件'!$G$11,OR('キャディ条件'!$J$11="全コース",'キャディ条件'!$J$11=$D18),COUNTIF($F$4:F17,R$3)&lt;'キャディ条件'!$D$11,OR(COUNTIF($F$4:F17,R$3)=0,'キャディ条件'!$E$11="はい"),COUNTIFS($F$4:F17,R$3,$I$4:I17,"&gt;"&amp;$B18)=0),100+IF('キャディ条件'!$H$11=$C18,'設定・説明'!$B$9,0)+IF(AND('キャディ条件'!$E$11="はい",'キャディ条件'!$F$11="はい",OR(COUNTIF($F$4:F17,R$3)=1,AND(COUNTIF($F$4:F17,R$3)=0,IF('キャディ条件'!$J$11="全コース",COUNTIFS('ラウンド入力'!$A$19:$A$19,"&lt;&gt;",'ラウンド入力'!$B$19:$B$19,"&gt;="&amp;($B18+$E18/1440+'設定・説明'!$B$7/1440),'ラウンド入力'!$C$19:$C$19,"&lt;="&amp;'キャディ条件'!$G$11),COUNTIFS('ラウンド入力'!$A$19:$A$19,"&lt;&gt;",'ラウンド入力'!$B$19:$B$19,"&gt;="&amp;($B18+$E18/1440+'設定・説明'!$B$7/1440),'ラウンド入力'!$C$19:$C$19,"&lt;="&amp;'キャディ条件'!$G$11,'ラウンド入力'!$D$19:$D$19,'キャディ条件'!$J$11))&gt;0))),'設定・説明'!$B$10,0)+IF(AND('キャディ条件'!$I$11="ベテラン",$C18=4),'設定・説明'!$B$13,0)-('キャディ条件'!$K$11+COUNTIF($F$4:F17,R$3))*'設定・説明'!$B$11-('キャディ条件'!$L$11+COUNTIFS($F$4:F17,R$3,$C$4:C17,4))*'設定・説明'!$B$12,-9999))</x:f>
      </x:c>
      <x:c r="S18" s="83" t="str">
        <x:f>IF(OR(S$3="",$A18=""),"",IF(AND(COUNTIF('キャディ条件'!$A$5:$A$14,S$3)=1,OR('キャディ条件'!$C$12="全日",AND('キャディ条件'!$C$12="土日",WEEKDAY($B18,2)&gt;=6),AND('キャディ条件'!$C$12="平日",WEEKDAY($B18,2)&lt;=5)),$C18&lt;='キャディ条件'!$G$12,OR('キャディ条件'!$J$12="全コース",'キャディ条件'!$J$12=$D18),COUNTIF($F$4:F17,S$3)&lt;'キャディ条件'!$D$12,OR(COUNTIF($F$4:F17,S$3)=0,'キャディ条件'!$E$12="はい"),COUNTIFS($F$4:F17,S$3,$I$4:I17,"&gt;"&amp;$B18)=0),100+IF('キャディ条件'!$H$12=$C18,'設定・説明'!$B$9,0)+IF(AND('キャディ条件'!$E$12="はい",'キャディ条件'!$F$12="はい",OR(COUNTIF($F$4:F17,S$3)=1,AND(COUNTIF($F$4:F17,S$3)=0,IF('キャディ条件'!$J$12="全コース",COUNTIFS('ラウンド入力'!$A$19:$A$19,"&lt;&gt;",'ラウンド入力'!$B$19:$B$19,"&gt;="&amp;($B18+$E18/1440+'設定・説明'!$B$7/1440),'ラウンド入力'!$C$19:$C$19,"&lt;="&amp;'キャディ条件'!$G$12),COUNTIFS('ラウンド入力'!$A$19:$A$19,"&lt;&gt;",'ラウンド入力'!$B$19:$B$19,"&gt;="&amp;($B18+$E18/1440+'設定・説明'!$B$7/1440),'ラウンド入力'!$C$19:$C$19,"&lt;="&amp;'キャディ条件'!$G$12,'ラウンド入力'!$D$19:$D$19,'キャディ条件'!$J$12))&gt;0))),'設定・説明'!$B$10,0)+IF(AND('キャディ条件'!$I$12="ベテラン",$C18=4),'設定・説明'!$B$13,0)-('キャディ条件'!$K$12+COUNTIF($F$4:F17,S$3))*'設定・説明'!$B$11-('キャディ条件'!$L$12+COUNTIFS($F$4:F17,S$3,$C$4:C17,4))*'設定・説明'!$B$12,-9999))</x:f>
      </x:c>
      <x:c r="T18" s="83" t="str">
        <x:f>IF(OR(T$3="",$A18=""),"",IF(AND(COUNTIF('キャディ条件'!$A$5:$A$14,T$3)=1,OR('キャディ条件'!$C$13="全日",AND('キャディ条件'!$C$13="土日",WEEKDAY($B18,2)&gt;=6),AND('キャディ条件'!$C$13="平日",WEEKDAY($B18,2)&lt;=5)),$C18&lt;='キャディ条件'!$G$13,OR('キャディ条件'!$J$13="全コース",'キャディ条件'!$J$13=$D18),COUNTIF($F$4:F17,T$3)&lt;'キャディ条件'!$D$13,OR(COUNTIF($F$4:F17,T$3)=0,'キャディ条件'!$E$13="はい"),COUNTIFS($F$4:F17,T$3,$I$4:I17,"&gt;"&amp;$B18)=0),100+IF('キャディ条件'!$H$13=$C18,'設定・説明'!$B$9,0)+IF(AND('キャディ条件'!$E$13="はい",'キャディ条件'!$F$13="はい",OR(COUNTIF($F$4:F17,T$3)=1,AND(COUNTIF($F$4:F17,T$3)=0,IF('キャディ条件'!$J$13="全コース",COUNTIFS('ラウンド入力'!$A$19:$A$19,"&lt;&gt;",'ラウンド入力'!$B$19:$B$19,"&gt;="&amp;($B18+$E18/1440+'設定・説明'!$B$7/1440),'ラウンド入力'!$C$19:$C$19,"&lt;="&amp;'キャディ条件'!$G$13),COUNTIFS('ラウンド入力'!$A$19:$A$19,"&lt;&gt;",'ラウンド入力'!$B$19:$B$19,"&gt;="&amp;($B18+$E18/1440+'設定・説明'!$B$7/1440),'ラウンド入力'!$C$19:$C$19,"&lt;="&amp;'キャディ条件'!$G$13,'ラウンド入力'!$D$19:$D$19,'キャディ条件'!$J$13))&gt;0))),'設定・説明'!$B$10,0)+IF(AND('キャディ条件'!$I$13="ベテラン",$C18=4),'設定・説明'!$B$13,0)-('キャディ条件'!$K$13+COUNTIF($F$4:F17,T$3))*'設定・説明'!$B$11-('キャディ条件'!$L$13+COUNTIFS($F$4:F17,T$3,$C$4:C17,4))*'設定・説明'!$B$12,-9999))</x:f>
      </x:c>
      <x:c r="U18" s="83" t="str">
        <x:f>IF(OR(U$3="",$A18=""),"",IF(AND(COUNTIF('キャディ条件'!$A$5:$A$14,U$3)=1,OR('キャディ条件'!$C$14="全日",AND('キャディ条件'!$C$14="土日",WEEKDAY($B18,2)&gt;=6),AND('キャディ条件'!$C$14="平日",WEEKDAY($B18,2)&lt;=5)),$C18&lt;='キャディ条件'!$G$14,OR('キャディ条件'!$J$14="全コース",'キャディ条件'!$J$14=$D18),COUNTIF($F$4:F17,U$3)&lt;'キャディ条件'!$D$14,OR(COUNTIF($F$4:F17,U$3)=0,'キャディ条件'!$E$14="はい"),COUNTIFS($F$4:F17,U$3,$I$4:I17,"&gt;"&amp;$B18)=0),100+IF('キャディ条件'!$H$14=$C18,'設定・説明'!$B$9,0)+IF(AND('キャディ条件'!$E$14="はい",'キャディ条件'!$F$14="はい",OR(COUNTIF($F$4:F17,U$3)=1,AND(COUNTIF($F$4:F17,U$3)=0,IF('キャディ条件'!$J$14="全コース",COUNTIFS('ラウンド入力'!$A$19:$A$19,"&lt;&gt;",'ラウンド入力'!$B$19:$B$19,"&gt;="&amp;($B18+$E18/1440+'設定・説明'!$B$7/1440),'ラウンド入力'!$C$19:$C$19,"&lt;="&amp;'キャディ条件'!$G$14),COUNTIFS('ラウンド入力'!$A$19:$A$19,"&lt;&gt;",'ラウンド入力'!$B$19:$B$19,"&gt;="&amp;($B18+$E18/1440+'設定・説明'!$B$7/1440),'ラウンド入力'!$C$19:$C$19,"&lt;="&amp;'キャディ条件'!$G$14,'ラウンド入力'!$D$19:$D$19,'キャディ条件'!$J$14))&gt;0))),'設定・説明'!$B$10,0)+IF(AND('キャディ条件'!$I$14="ベテラン",$C18=4),'設定・説明'!$B$13,0)-('キャディ条件'!$K$14+COUNTIF($F$4:F17,U$3))*'設定・説明'!$B$11-('キャディ条件'!$L$14+COUNTIFS($F$4:F17,U$3,$C$4:C17,4))*'設定・説明'!$B$12,-9999))</x:f>
      </x:c>
      <x:c r="V18" s="74" t="str">
        <x:f>IF($A18="","",IF($J18="人数希望一致",1,0))</x:f>
      </x:c>
    </x:row>
    <x:row r="19">
      <x:c r="A19" s="76" t="str">
        <x:f>IF('ラウンド入力'!A19="","",'ラウンド入力'!A19)</x:f>
      </x:c>
      <x:c r="B19" s="80" t="str">
        <x:f>IF('ラウンド入力'!A19="","",'ラウンド入力'!B19)</x:f>
      </x:c>
      <x:c r="C19" s="77" t="str">
        <x:f>IF('ラウンド入力'!A19="","",'ラウンド入力'!C19)</x:f>
      </x:c>
      <x:c r="D19" s="77" t="str">
        <x:f>IF('ラウンド入力'!A19="","",'ラウンド入力'!D19)</x:f>
      </x:c>
      <x:c r="E19" s="77" t="str">
        <x:f>IF('ラウンド入力'!A19="","",IF('ラウンド入力'!E19="",'設定・説明'!$B$6,'ラウンド入力'!E19))</x:f>
      </x:c>
      <x:c r="F19" s="77" t="str">
        <x:f>IF($A19="","",IF(COUNTIF(L19:U19,"&gt;-9999")=0,"未割当",INDEX($L$3:$U$3,1,MATCH(MAX(L19:U19),L19:U19,0))))</x:f>
      </x:c>
      <x:c r="G19" s="77" t="str">
        <x:f>IF(OR($F19="",$F19="未割当"),"",INDEX('キャディ条件'!$B$5:$B$14,MATCH($F19,'キャディ条件'!$A$5:$A$14,0)))</x:f>
      </x:c>
      <x:c r="H19" s="82" t="str">
        <x:f>IF($A19="","",$B19+$E19/1440)</x:f>
      </x:c>
      <x:c r="I19" s="82" t="str">
        <x:f>IF($A19="","",$H19+'設定・説明'!$B$7/1440)</x:f>
      </x:c>
      <x:c r="J19" s="86" t="str">
        <x:f>IF($A19="","",IF($F19="未割当","Hard条件を満たす候補なし",IF(INDEX('キャディ条件'!$H$5:$H$14,MATCH($F19,'キャディ条件'!$A$5:$A$14,0))=$C19,"人数希望一致",IF(AND(INDEX('キャディ条件'!$F$5:$F$14,MATCH($F19,'キャディ条件'!$A$5:$A$14,0))="はい",COUNTIF($F$5:$F$19,$F19)=2),"2ラウンド希望を考慮","公平性・残容量"))))</x:f>
      </x:c>
      <x:c r="K19" s="86" t="str">
        <x:f>IF($A19="","",IF($F19="未割当","要手動調整",""))</x:f>
      </x:c>
      <x:c r="L19" s="84" t="str">
        <x:f>IF(OR(L$3="",$A19=""),"",IF(AND(COUNTIF('キャディ条件'!$A$5:$A$14,L$3)=1,OR('キャディ条件'!$C$5="全日",AND('キャディ条件'!$C$5="土日",WEEKDAY($B19,2)&gt;=6),AND('キャディ条件'!$C$5="平日",WEEKDAY($B19,2)&lt;=5)),$C19&lt;='キャディ条件'!$G$5,OR('キャディ条件'!$J$5="全コース",'キャディ条件'!$J$5=$D19),COUNTIF($F$4:F18,L$3)&lt;'キャディ条件'!$D$5,OR(COUNTIF($F$4:F18,L$3)=0,'キャディ条件'!$E$5="はい"),COUNTIFS($F$4:F18,L$3,$I$4:I18,"&gt;"&amp;$B19)=0),100+IF('キャディ条件'!$H$5=$C19,'設定・説明'!$B$9,0)+IF(AND('キャディ条件'!$E$5="はい",'キャディ条件'!$F$5="はい",OR(COUNTIF($F$4:F18,L$3)=1,AND(COUNTIF($F$4:F18,L$3)=0,FALSE))),'設定・説明'!$B$10,0)+IF(AND('キャディ条件'!$I$5="ベテラン",$C19=4),'設定・説明'!$B$13,0)-('キャディ条件'!$K$5+COUNTIF($F$4:F18,L$3))*'設定・説明'!$B$11-('キャディ条件'!$L$5+COUNTIFS($F$4:F18,L$3,$C$4:C18,4))*'設定・説明'!$B$12,-9999))</x:f>
      </x:c>
      <x:c r="M19" s="84" t="str">
        <x:f>IF(OR(M$3="",$A19=""),"",IF(AND(COUNTIF('キャディ条件'!$A$5:$A$14,M$3)=1,OR('キャディ条件'!$C$6="全日",AND('キャディ条件'!$C$6="土日",WEEKDAY($B19,2)&gt;=6),AND('キャディ条件'!$C$6="平日",WEEKDAY($B19,2)&lt;=5)),$C19&lt;='キャディ条件'!$G$6,OR('キャディ条件'!$J$6="全コース",'キャディ条件'!$J$6=$D19),COUNTIF($F$4:F18,M$3)&lt;'キャディ条件'!$D$6,OR(COUNTIF($F$4:F18,M$3)=0,'キャディ条件'!$E$6="はい"),COUNTIFS($F$4:F18,M$3,$I$4:I18,"&gt;"&amp;$B19)=0),100+IF('キャディ条件'!$H$6=$C19,'設定・説明'!$B$9,0)+IF(AND('キャディ条件'!$E$6="はい",'キャディ条件'!$F$6="はい",OR(COUNTIF($F$4:F18,M$3)=1,AND(COUNTIF($F$4:F18,M$3)=0,FALSE))),'設定・説明'!$B$10,0)+IF(AND('キャディ条件'!$I$6="ベテラン",$C19=4),'設定・説明'!$B$13,0)-('キャディ条件'!$K$6+COUNTIF($F$4:F18,M$3))*'設定・説明'!$B$11-('キャディ条件'!$L$6+COUNTIFS($F$4:F18,M$3,$C$4:C18,4))*'設定・説明'!$B$12,-9999))</x:f>
      </x:c>
      <x:c r="N19" s="84" t="str">
        <x:f>IF(OR(N$3="",$A19=""),"",IF(AND(COUNTIF('キャディ条件'!$A$5:$A$14,N$3)=1,OR('キャディ条件'!$C$7="全日",AND('キャディ条件'!$C$7="土日",WEEKDAY($B19,2)&gt;=6),AND('キャディ条件'!$C$7="平日",WEEKDAY($B19,2)&lt;=5)),$C19&lt;='キャディ条件'!$G$7,OR('キャディ条件'!$J$7="全コース",'キャディ条件'!$J$7=$D19),COUNTIF($F$4:F18,N$3)&lt;'キャディ条件'!$D$7,OR(COUNTIF($F$4:F18,N$3)=0,'キャディ条件'!$E$7="はい"),COUNTIFS($F$4:F18,N$3,$I$4:I18,"&gt;"&amp;$B19)=0),100+IF('キャディ条件'!$H$7=$C19,'設定・説明'!$B$9,0)+IF(AND('キャディ条件'!$E$7="はい",'キャディ条件'!$F$7="はい",OR(COUNTIF($F$4:F18,N$3)=1,AND(COUNTIF($F$4:F18,N$3)=0,FALSE))),'設定・説明'!$B$10,0)+IF(AND('キャディ条件'!$I$7="ベテラン",$C19=4),'設定・説明'!$B$13,0)-('キャディ条件'!$K$7+COUNTIF($F$4:F18,N$3))*'設定・説明'!$B$11-('キャディ条件'!$L$7+COUNTIFS($F$4:F18,N$3,$C$4:C18,4))*'設定・説明'!$B$12,-9999))</x:f>
      </x:c>
      <x:c r="O19" s="84" t="str">
        <x:f>IF(OR(O$3="",$A19=""),"",IF(AND(COUNTIF('キャディ条件'!$A$5:$A$14,O$3)=1,OR('キャディ条件'!$C$8="全日",AND('キャディ条件'!$C$8="土日",WEEKDAY($B19,2)&gt;=6),AND('キャディ条件'!$C$8="平日",WEEKDAY($B19,2)&lt;=5)),$C19&lt;='キャディ条件'!$G$8,OR('キャディ条件'!$J$8="全コース",'キャディ条件'!$J$8=$D19),COUNTIF($F$4:F18,O$3)&lt;'キャディ条件'!$D$8,OR(COUNTIF($F$4:F18,O$3)=0,'キャディ条件'!$E$8="はい"),COUNTIFS($F$4:F18,O$3,$I$4:I18,"&gt;"&amp;$B19)=0),100+IF('キャディ条件'!$H$8=$C19,'設定・説明'!$B$9,0)+IF(AND('キャディ条件'!$E$8="はい",'キャディ条件'!$F$8="はい",OR(COUNTIF($F$4:F18,O$3)=1,AND(COUNTIF($F$4:F18,O$3)=0,FALSE))),'設定・説明'!$B$10,0)+IF(AND('キャディ条件'!$I$8="ベテラン",$C19=4),'設定・説明'!$B$13,0)-('キャディ条件'!$K$8+COUNTIF($F$4:F18,O$3))*'設定・説明'!$B$11-('キャディ条件'!$L$8+COUNTIFS($F$4:F18,O$3,$C$4:C18,4))*'設定・説明'!$B$12,-9999))</x:f>
      </x:c>
      <x:c r="P19" s="84" t="str">
        <x:f>IF(OR(P$3="",$A19=""),"",IF(AND(COUNTIF('キャディ条件'!$A$5:$A$14,P$3)=1,OR('キャディ条件'!$C$9="全日",AND('キャディ条件'!$C$9="土日",WEEKDAY($B19,2)&gt;=6),AND('キャディ条件'!$C$9="平日",WEEKDAY($B19,2)&lt;=5)),$C19&lt;='キャディ条件'!$G$9,OR('キャディ条件'!$J$9="全コース",'キャディ条件'!$J$9=$D19),COUNTIF($F$4:F18,P$3)&lt;'キャディ条件'!$D$9,OR(COUNTIF($F$4:F18,P$3)=0,'キャディ条件'!$E$9="はい"),COUNTIFS($F$4:F18,P$3,$I$4:I18,"&gt;"&amp;$B19)=0),100+IF('キャディ条件'!$H$9=$C19,'設定・説明'!$B$9,0)+IF(AND('キャディ条件'!$E$9="はい",'キャディ条件'!$F$9="はい",OR(COUNTIF($F$4:F18,P$3)=1,AND(COUNTIF($F$4:F18,P$3)=0,FALSE))),'設定・説明'!$B$10,0)+IF(AND('キャディ条件'!$I$9="ベテラン",$C19=4),'設定・説明'!$B$13,0)-('キャディ条件'!$K$9+COUNTIF($F$4:F18,P$3))*'設定・説明'!$B$11-('キャディ条件'!$L$9+COUNTIFS($F$4:F18,P$3,$C$4:C18,4))*'設定・説明'!$B$12,-9999))</x:f>
      </x:c>
      <x:c r="Q19" s="84" t="str">
        <x:f>IF(OR(Q$3="",$A19=""),"",IF(AND(COUNTIF('キャディ条件'!$A$5:$A$14,Q$3)=1,OR('キャディ条件'!$C$10="全日",AND('キャディ条件'!$C$10="土日",WEEKDAY($B19,2)&gt;=6),AND('キャディ条件'!$C$10="平日",WEEKDAY($B19,2)&lt;=5)),$C19&lt;='キャディ条件'!$G$10,OR('キャディ条件'!$J$10="全コース",'キャディ条件'!$J$10=$D19),COUNTIF($F$4:F18,Q$3)&lt;'キャディ条件'!$D$10,OR(COUNTIF($F$4:F18,Q$3)=0,'キャディ条件'!$E$10="はい"),COUNTIFS($F$4:F18,Q$3,$I$4:I18,"&gt;"&amp;$B19)=0),100+IF('キャディ条件'!$H$10=$C19,'設定・説明'!$B$9,0)+IF(AND('キャディ条件'!$E$10="はい",'キャディ条件'!$F$10="はい",OR(COUNTIF($F$4:F18,Q$3)=1,AND(COUNTIF($F$4:F18,Q$3)=0,FALSE))),'設定・説明'!$B$10,0)+IF(AND('キャディ条件'!$I$10="ベテラン",$C19=4),'設定・説明'!$B$13,0)-('キャディ条件'!$K$10+COUNTIF($F$4:F18,Q$3))*'設定・説明'!$B$11-('キャディ条件'!$L$10+COUNTIFS($F$4:F18,Q$3,$C$4:C18,4))*'設定・説明'!$B$12,-9999))</x:f>
      </x:c>
      <x:c r="R19" s="84" t="str">
        <x:f>IF(OR(R$3="",$A19=""),"",IF(AND(COUNTIF('キャディ条件'!$A$5:$A$14,R$3)=1,OR('キャディ条件'!$C$11="全日",AND('キャディ条件'!$C$11="土日",WEEKDAY($B19,2)&gt;=6),AND('キャディ条件'!$C$11="平日",WEEKDAY($B19,2)&lt;=5)),$C19&lt;='キャディ条件'!$G$11,OR('キャディ条件'!$J$11="全コース",'キャディ条件'!$J$11=$D19),COUNTIF($F$4:F18,R$3)&lt;'キャディ条件'!$D$11,OR(COUNTIF($F$4:F18,R$3)=0,'キャディ条件'!$E$11="はい"),COUNTIFS($F$4:F18,R$3,$I$4:I18,"&gt;"&amp;$B19)=0),100+IF('キャディ条件'!$H$11=$C19,'設定・説明'!$B$9,0)+IF(AND('キャディ条件'!$E$11="はい",'キャディ条件'!$F$11="はい",OR(COUNTIF($F$4:F18,R$3)=1,AND(COUNTIF($F$4:F18,R$3)=0,FALSE))),'設定・説明'!$B$10,0)+IF(AND('キャディ条件'!$I$11="ベテラン",$C19=4),'設定・説明'!$B$13,0)-('キャディ条件'!$K$11+COUNTIF($F$4:F18,R$3))*'設定・説明'!$B$11-('キャディ条件'!$L$11+COUNTIFS($F$4:F18,R$3,$C$4:C18,4))*'設定・説明'!$B$12,-9999))</x:f>
      </x:c>
      <x:c r="S19" s="84" t="str">
        <x:f>IF(OR(S$3="",$A19=""),"",IF(AND(COUNTIF('キャディ条件'!$A$5:$A$14,S$3)=1,OR('キャディ条件'!$C$12="全日",AND('キャディ条件'!$C$12="土日",WEEKDAY($B19,2)&gt;=6),AND('キャディ条件'!$C$12="平日",WEEKDAY($B19,2)&lt;=5)),$C19&lt;='キャディ条件'!$G$12,OR('キャディ条件'!$J$12="全コース",'キャディ条件'!$J$12=$D19),COUNTIF($F$4:F18,S$3)&lt;'キャディ条件'!$D$12,OR(COUNTIF($F$4:F18,S$3)=0,'キャディ条件'!$E$12="はい"),COUNTIFS($F$4:F18,S$3,$I$4:I18,"&gt;"&amp;$B19)=0),100+IF('キャディ条件'!$H$12=$C19,'設定・説明'!$B$9,0)+IF(AND('キャディ条件'!$E$12="はい",'キャディ条件'!$F$12="はい",OR(COUNTIF($F$4:F18,S$3)=1,AND(COUNTIF($F$4:F18,S$3)=0,FALSE))),'設定・説明'!$B$10,0)+IF(AND('キャディ条件'!$I$12="ベテラン",$C19=4),'設定・説明'!$B$13,0)-('キャディ条件'!$K$12+COUNTIF($F$4:F18,S$3))*'設定・説明'!$B$11-('キャディ条件'!$L$12+COUNTIFS($F$4:F18,S$3,$C$4:C18,4))*'設定・説明'!$B$12,-9999))</x:f>
      </x:c>
      <x:c r="T19" s="84" t="str">
        <x:f>IF(OR(T$3="",$A19=""),"",IF(AND(COUNTIF('キャディ条件'!$A$5:$A$14,T$3)=1,OR('キャディ条件'!$C$13="全日",AND('キャディ条件'!$C$13="土日",WEEKDAY($B19,2)&gt;=6),AND('キャディ条件'!$C$13="平日",WEEKDAY($B19,2)&lt;=5)),$C19&lt;='キャディ条件'!$G$13,OR('キャディ条件'!$J$13="全コース",'キャディ条件'!$J$13=$D19),COUNTIF($F$4:F18,T$3)&lt;'キャディ条件'!$D$13,OR(COUNTIF($F$4:F18,T$3)=0,'キャディ条件'!$E$13="はい"),COUNTIFS($F$4:F18,T$3,$I$4:I18,"&gt;"&amp;$B19)=0),100+IF('キャディ条件'!$H$13=$C19,'設定・説明'!$B$9,0)+IF(AND('キャディ条件'!$E$13="はい",'キャディ条件'!$F$13="はい",OR(COUNTIF($F$4:F18,T$3)=1,AND(COUNTIF($F$4:F18,T$3)=0,FALSE))),'設定・説明'!$B$10,0)+IF(AND('キャディ条件'!$I$13="ベテラン",$C19=4),'設定・説明'!$B$13,0)-('キャディ条件'!$K$13+COUNTIF($F$4:F18,T$3))*'設定・説明'!$B$11-('キャディ条件'!$L$13+COUNTIFS($F$4:F18,T$3,$C$4:C18,4))*'設定・説明'!$B$12,-9999))</x:f>
      </x:c>
      <x:c r="U19" s="84" t="str">
        <x:f>IF(OR(U$3="",$A19=""),"",IF(AND(COUNTIF('キャディ条件'!$A$5:$A$14,U$3)=1,OR('キャディ条件'!$C$14="全日",AND('キャディ条件'!$C$14="土日",WEEKDAY($B19,2)&gt;=6),AND('キャディ条件'!$C$14="平日",WEEKDAY($B19,2)&lt;=5)),$C19&lt;='キャディ条件'!$G$14,OR('キャディ条件'!$J$14="全コース",'キャディ条件'!$J$14=$D19),COUNTIF($F$4:F18,U$3)&lt;'キャディ条件'!$D$14,OR(COUNTIF($F$4:F18,U$3)=0,'キャディ条件'!$E$14="はい"),COUNTIFS($F$4:F18,U$3,$I$4:I18,"&gt;"&amp;$B19)=0),100+IF('キャディ条件'!$H$14=$C19,'設定・説明'!$B$9,0)+IF(AND('キャディ条件'!$E$14="はい",'キャディ条件'!$F$14="はい",OR(COUNTIF($F$4:F18,U$3)=1,AND(COUNTIF($F$4:F18,U$3)=0,FALSE))),'設定・説明'!$B$10,0)+IF(AND('キャディ条件'!$I$14="ベテラン",$C19=4),'設定・説明'!$B$13,0)-('キャディ条件'!$K$14+COUNTIF($F$4:F18,U$3))*'設定・説明'!$B$11-('キャディ条件'!$L$14+COUNTIFS($F$4:F18,U$3,$C$4:C18,4))*'設定・説明'!$B$12,-9999))</x:f>
      </x:c>
      <x:c r="V19" s="77" t="str">
        <x:f>IF($A19="","",IF($J19="人数希望一致",1,0))</x:f>
      </x:c>
    </x:row>
  </x:sheetData>
  <x:mergeCells>
    <x:mergeCell ref="A1:V1"/>
    <x:mergeCell ref="A2:V2"/>
  </x:mergeCells>
  <x:conditionalFormatting sqref="F5:F19">
    <x:cfRule type="containsText" dxfId="1" priority="1" operator="containsText" text="未割当"/>
  </x:conditionalFormatting>
  <x:conditionalFormatting sqref="K5:K19">
    <x:cfRule type="notContainsBlanks" dxfId="2" priority="2"/>
  </x:conditionalFormatting>
  <x:conditionalFormatting sqref="L5:U19">
    <x:cfRule type="cellIs" dxfId="3" priority="3" operator="lessThan">
      <x:formula>0</x:formula>
    </x:cfRule>
  </x:conditionalFormatting>
  <x:pageMargins left="0.7" right="0.7" top="0.75" bottom="0.75" header="0.3" footer="0.3"/>
  <x:legacyDrawing xmlns:r="http://schemas.openxmlformats.org/officeDocument/2006/relationships" r:id="R063d9e65e245462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6" hidden="0" customWidth="1"/>
    <x:col min="8" max="8" width="15" hidden="0" customWidth="1"/>
    <x:col min="9" max="9" width="15" hidden="0" customWidth="1"/>
    <x:col min="10" max="10" width="28" hidden="0" customWidth="1"/>
  </x:cols>
  <x:sheetData>
    <x:row r="1" ht="34" customHeight="1">
      <x:c r="A1" s="3" t="str">
        <x:v>個人別シミュレーション集計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4" t="str">
        <x:v>見込バックは「基本バック×担当組数＋4人組追加バック×4人組数」で試算します。追加バックは仮定です。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4" ht="32" customHeight="1">
      <x:c r="A4" s="59" t="str">
        <x:v>ID</x:v>
      </x:c>
      <x:c r="B4" s="60" t="str">
        <x:v>氏名</x:v>
      </x:c>
      <x:c r="C4" s="60" t="str">
        <x:v>現在月間R</x:v>
      </x:c>
      <x:c r="D4" s="60" t="str">
        <x:v>現在4人組</x:v>
      </x:c>
      <x:c r="E4" s="60" t="str">
        <x:v>今回割当R</x:v>
      </x:c>
      <x:c r="F4" s="60" t="str">
        <x:v>今回4人組</x:v>
      </x:c>
      <x:c r="G4" s="60" t="str">
        <x:v>見込バック</x:v>
      </x:c>
      <x:c r="H4" s="60" t="str">
        <x:v>割当後月間R</x:v>
      </x:c>
      <x:c r="I4" s="60" t="str">
        <x:v>割当後4人組</x:v>
      </x:c>
      <x:c r="J4" s="60" t="str">
        <x:v>条件</x:v>
      </x:c>
    </x:row>
    <x:row r="5">
      <x:c r="A5" s="73" t="str">
        <x:f>IF('キャディ条件'!A5="","",'キャディ条件'!A5)</x:f>
        <x:v>cad_sato</x:v>
      </x:c>
      <x:c r="B5" s="74" t="str">
        <x:f>IF('キャディ条件'!A5="","",'キャディ条件'!B5)</x:f>
        <x:v>佐藤</x:v>
      </x:c>
      <x:c r="C5" s="87" t="n">
        <x:f>IF($A5="","",'キャディ条件'!K5)</x:f>
        <x:v>8</x:v>
      </x:c>
      <x:c r="D5" s="87" t="n">
        <x:f>IF($A5="","",'キャディ条件'!L5)</x:f>
        <x:v>0</x:v>
      </x:c>
      <x:c r="E5" s="87" t="n">
        <x:f>IF($A5="","",COUNTIF('割当シミュレーション'!$F$5:$F$19,$A5))</x:f>
        <x:v>1</x:v>
      </x:c>
      <x:c r="F5" s="87" t="n">
        <x:f>IF($A5="","",COUNTIFS('割当シミュレーション'!$F$5:$F$19,$A5,'割当シミュレーション'!$C$5:$C$19,4))</x:f>
        <x:v>0</x:v>
      </x:c>
      <x:c r="G5" s="89" t="n">
        <x:f>IF($A5="","",$E5*'キャディ条件'!M5+$F5*'設定・説明'!$B$8)</x:f>
        <x:v>11000</x:v>
      </x:c>
      <x:c r="H5" s="87" t="n">
        <x:f>IF($A5="","",$C5+$E5)</x:f>
        <x:v>9</x:v>
      </x:c>
      <x:c r="I5" s="87" t="n">
        <x:f>IF($A5="","",$D5+$F5)</x:f>
        <x:v>0</x:v>
      </x:c>
      <x:c r="J5" s="85" t="str">
        <x:f>IF($A5="","",'キャディ条件'!N5)</x:f>
        <x:v>4人不可・2人組希望</x:v>
      </x:c>
    </x:row>
    <x:row r="6">
      <x:c r="A6" s="73" t="str">
        <x:f>IF('キャディ条件'!A6="","",'キャディ条件'!A6)</x:f>
        <x:v>cad_suzuki</x:v>
      </x:c>
      <x:c r="B6" s="74" t="str">
        <x:f>IF('キャディ条件'!A6="","",'キャディ条件'!B6)</x:f>
        <x:v>鈴木</x:v>
      </x:c>
      <x:c r="C6" s="87" t="n">
        <x:f>IF($A6="","",'キャディ条件'!K6)</x:f>
        <x:v>10</x:v>
      </x:c>
      <x:c r="D6" s="87" t="n">
        <x:f>IF($A6="","",'キャディ条件'!L6)</x:f>
        <x:v>5</x:v>
      </x:c>
      <x:c r="E6" s="87" t="n">
        <x:f>IF($A6="","",COUNTIF('割当シミュレーション'!$F$5:$F$19,$A6))</x:f>
        <x:v>1</x:v>
      </x:c>
      <x:c r="F6" s="87" t="n">
        <x:f>IF($A6="","",COUNTIFS('割当シミュレーション'!$F$5:$F$19,$A6,'割当シミュレーション'!$C$5:$C$19,4))</x:f>
        <x:v>1</x:v>
      </x:c>
      <x:c r="G6" s="89" t="n">
        <x:f>IF($A6="","",$E6*'キャディ条件'!M6+$F6*'設定・説明'!$B$8)</x:f>
        <x:v>14000</x:v>
      </x:c>
      <x:c r="H6" s="87" t="n">
        <x:f>IF($A6="","",$C6+$E6)</x:f>
        <x:v>11</x:v>
      </x:c>
      <x:c r="I6" s="87" t="n">
        <x:f>IF($A6="","",$D6+$F6)</x:f>
        <x:v>6</x:v>
      </x:c>
      <x:c r="J6" s="85" t="str">
        <x:f>IF($A6="","",'キャディ条件'!N6)</x:f>
        <x:v>4人組希望</x:v>
      </x:c>
    </x:row>
    <x:row r="7">
      <x:c r="A7" s="73" t="str">
        <x:f>IF('キャディ条件'!A7="","",'キャディ条件'!A7)</x:f>
        <x:v>cad_tanaka</x:v>
      </x:c>
      <x:c r="B7" s="74" t="str">
        <x:f>IF('キャディ条件'!A7="","",'キャディ条件'!B7)</x:f>
        <x:v>田中</x:v>
      </x:c>
      <x:c r="C7" s="87" t="n">
        <x:f>IF($A7="","",'キャディ条件'!K7)</x:f>
        <x:v>7</x:v>
      </x:c>
      <x:c r="D7" s="87" t="n">
        <x:f>IF($A7="","",'キャディ条件'!L7)</x:f>
        <x:v>2</x:v>
      </x:c>
      <x:c r="E7" s="87" t="n">
        <x:f>IF($A7="","",COUNTIF('割当シミュレーション'!$F$5:$F$19,$A7))</x:f>
        <x:v>2</x:v>
      </x:c>
      <x:c r="F7" s="87" t="n">
        <x:f>IF($A7="","",COUNTIFS('割当シミュレーション'!$F$5:$F$19,$A7,'割当シミュレーション'!$C$5:$C$19,4))</x:f>
        <x:v>1</x:v>
      </x:c>
      <x:c r="G7" s="89" t="n">
        <x:f>IF($A7="","",$E7*'キャディ条件'!M7+$F7*'設定・説明'!$B$8)</x:f>
        <x:v>25000</x:v>
      </x:c>
      <x:c r="H7" s="87" t="n">
        <x:f>IF($A7="","",$C7+$E7)</x:f>
        <x:v>9</x:v>
      </x:c>
      <x:c r="I7" s="87" t="n">
        <x:f>IF($A7="","",$D7+$F7)</x:f>
        <x:v>3</x:v>
      </x:c>
      <x:c r="J7" s="85" t="str">
        <x:f>IF($A7="","",'キャディ条件'!N7)</x:f>
        <x:v>当日2ラウンド希望</x:v>
      </x:c>
    </x:row>
    <x:row r="8">
      <x:c r="A8" s="73" t="str">
        <x:f>IF('キャディ条件'!A8="","",'キャディ条件'!A8)</x:f>
        <x:v>cad_yamamoto</x:v>
      </x:c>
      <x:c r="B8" s="74" t="str">
        <x:f>IF('キャディ条件'!A8="","",'キャディ条件'!B8)</x:f>
        <x:v>山本</x:v>
      </x:c>
      <x:c r="C8" s="87" t="n">
        <x:f>IF($A8="","",'キャディ条件'!K8)</x:f>
        <x:v>6</x:v>
      </x:c>
      <x:c r="D8" s="87" t="n">
        <x:f>IF($A8="","",'キャディ条件'!L8)</x:f>
        <x:v>1</x:v>
      </x:c>
      <x:c r="E8" s="87" t="n">
        <x:f>IF($A8="","",COUNTIF('割当シミュレーション'!$F$5:$F$19,$A8))</x:f>
        <x:v>0</x:v>
      </x:c>
      <x:c r="F8" s="87" t="n">
        <x:f>IF($A8="","",COUNTIFS('割当シミュレーション'!$F$5:$F$19,$A8,'割当シミュレーション'!$C$5:$C$19,4))</x:f>
        <x:v>0</x:v>
      </x:c>
      <x:c r="G8" s="89" t="n">
        <x:f>IF($A8="","",$E8*'キャディ条件'!M8+$F8*'設定・説明'!$B$8)</x:f>
        <x:v>0</x:v>
      </x:c>
      <x:c r="H8" s="87" t="n">
        <x:f>IF($A8="","",$C8+$E8)</x:f>
        <x:v>6</x:v>
      </x:c>
      <x:c r="I8" s="87" t="n">
        <x:f>IF($A8="","",$D8+$F8)</x:f>
        <x:v>1</x:v>
      </x:c>
      <x:c r="J8" s="85" t="str">
        <x:f>IF($A8="","",'キャディ条件'!N8)</x:f>
        <x:v>平日のみ</x:v>
      </x:c>
    </x:row>
    <x:row r="9">
      <x:c r="A9" s="73" t="str">
        <x:f>IF('キャディ条件'!A9="","",'キャディ条件'!A9)</x:f>
        <x:v>cad_ito</x:v>
      </x:c>
      <x:c r="B9" s="74" t="str">
        <x:f>IF('キャディ条件'!A9="","",'キャディ条件'!B9)</x:f>
        <x:v>伊藤</x:v>
      </x:c>
      <x:c r="C9" s="87" t="n">
        <x:f>IF($A9="","",'キャディ条件'!K9)</x:f>
        <x:v>4</x:v>
      </x:c>
      <x:c r="D9" s="87" t="n">
        <x:f>IF($A9="","",'キャディ条件'!L9)</x:f>
        <x:v>0</x:v>
      </x:c>
      <x:c r="E9" s="87" t="n">
        <x:f>IF($A9="","",COUNTIF('割当シミュレーション'!$F$5:$F$19,$A9))</x:f>
        <x:v>1</x:v>
      </x:c>
      <x:c r="F9" s="87" t="n">
        <x:f>IF($A9="","",COUNTIFS('割当シミュレーション'!$F$5:$F$19,$A9,'割当シミュレーション'!$C$5:$C$19,4))</x:f>
        <x:v>0</x:v>
      </x:c>
      <x:c r="G9" s="89" t="n">
        <x:f>IF($A9="","",$E9*'キャディ条件'!M9+$F9*'設定・説明'!$B$8)</x:f>
        <x:v>10000</x:v>
      </x:c>
      <x:c r="H9" s="87" t="n">
        <x:f>IF($A9="","",$C9+$E9)</x:f>
        <x:v>5</x:v>
      </x:c>
      <x:c r="I9" s="87" t="n">
        <x:f>IF($A9="","",$D9+$F9)</x:f>
        <x:v>0</x:v>
      </x:c>
      <x:c r="J9" s="85" t="str">
        <x:f>IF($A9="","",'キャディ条件'!N9)</x:f>
        <x:v>制約なし</x:v>
      </x:c>
    </x:row>
    <x:row r="10">
      <x:c r="A10" s="73" t="str">
        <x:f>IF('キャディ条件'!A10="","",'キャディ条件'!A10)</x:f>
      </x:c>
      <x:c r="B10" s="74" t="str">
        <x:f>IF('キャディ条件'!A10="","",'キャディ条件'!B10)</x:f>
      </x:c>
      <x:c r="C10" s="87" t="str">
        <x:f>IF($A10="","",'キャディ条件'!K10)</x:f>
      </x:c>
      <x:c r="D10" s="87" t="str">
        <x:f>IF($A10="","",'キャディ条件'!L10)</x:f>
      </x:c>
      <x:c r="E10" s="87" t="str">
        <x:f>IF($A10="","",COUNTIF('割当シミュレーション'!$F$5:$F$19,$A10))</x:f>
      </x:c>
      <x:c r="F10" s="87" t="str">
        <x:f>IF($A10="","",COUNTIFS('割当シミュレーション'!$F$5:$F$19,$A10,'割当シミュレーション'!$C$5:$C$19,4))</x:f>
      </x:c>
      <x:c r="G10" s="89" t="str">
        <x:f>IF($A10="","",$E10*'キャディ条件'!M10+$F10*'設定・説明'!$B$8)</x:f>
      </x:c>
      <x:c r="H10" s="87" t="str">
        <x:f>IF($A10="","",$C10+$E10)</x:f>
      </x:c>
      <x:c r="I10" s="87" t="str">
        <x:f>IF($A10="","",$D10+$F10)</x:f>
      </x:c>
      <x:c r="J10" s="85" t="str">
        <x:f>IF($A10="","",'キャディ条件'!N10)</x:f>
      </x:c>
    </x:row>
    <x:row r="11">
      <x:c r="A11" s="73" t="str">
        <x:f>IF('キャディ条件'!A11="","",'キャディ条件'!A11)</x:f>
      </x:c>
      <x:c r="B11" s="74" t="str">
        <x:f>IF('キャディ条件'!A11="","",'キャディ条件'!B11)</x:f>
      </x:c>
      <x:c r="C11" s="87" t="str">
        <x:f>IF($A11="","",'キャディ条件'!K11)</x:f>
      </x:c>
      <x:c r="D11" s="87" t="str">
        <x:f>IF($A11="","",'キャディ条件'!L11)</x:f>
      </x:c>
      <x:c r="E11" s="87" t="str">
        <x:f>IF($A11="","",COUNTIF('割当シミュレーション'!$F$5:$F$19,$A11))</x:f>
      </x:c>
      <x:c r="F11" s="87" t="str">
        <x:f>IF($A11="","",COUNTIFS('割当シミュレーション'!$F$5:$F$19,$A11,'割当シミュレーション'!$C$5:$C$19,4))</x:f>
      </x:c>
      <x:c r="G11" s="89" t="str">
        <x:f>IF($A11="","",$E11*'キャディ条件'!M11+$F11*'設定・説明'!$B$8)</x:f>
      </x:c>
      <x:c r="H11" s="87" t="str">
        <x:f>IF($A11="","",$C11+$E11)</x:f>
      </x:c>
      <x:c r="I11" s="87" t="str">
        <x:f>IF($A11="","",$D11+$F11)</x:f>
      </x:c>
      <x:c r="J11" s="85" t="str">
        <x:f>IF($A11="","",'キャディ条件'!N11)</x:f>
      </x:c>
    </x:row>
    <x:row r="12">
      <x:c r="A12" s="73" t="str">
        <x:f>IF('キャディ条件'!A12="","",'キャディ条件'!A12)</x:f>
      </x:c>
      <x:c r="B12" s="74" t="str">
        <x:f>IF('キャディ条件'!A12="","",'キャディ条件'!B12)</x:f>
      </x:c>
      <x:c r="C12" s="87" t="str">
        <x:f>IF($A12="","",'キャディ条件'!K12)</x:f>
      </x:c>
      <x:c r="D12" s="87" t="str">
        <x:f>IF($A12="","",'キャディ条件'!L12)</x:f>
      </x:c>
      <x:c r="E12" s="87" t="str">
        <x:f>IF($A12="","",COUNTIF('割当シミュレーション'!$F$5:$F$19,$A12))</x:f>
      </x:c>
      <x:c r="F12" s="87" t="str">
        <x:f>IF($A12="","",COUNTIFS('割当シミュレーション'!$F$5:$F$19,$A12,'割当シミュレーション'!$C$5:$C$19,4))</x:f>
      </x:c>
      <x:c r="G12" s="89" t="str">
        <x:f>IF($A12="","",$E12*'キャディ条件'!M12+$F12*'設定・説明'!$B$8)</x:f>
      </x:c>
      <x:c r="H12" s="87" t="str">
        <x:f>IF($A12="","",$C12+$E12)</x:f>
      </x:c>
      <x:c r="I12" s="87" t="str">
        <x:f>IF($A12="","",$D12+$F12)</x:f>
      </x:c>
      <x:c r="J12" s="85" t="str">
        <x:f>IF($A12="","",'キャディ条件'!N12)</x:f>
      </x:c>
    </x:row>
    <x:row r="13">
      <x:c r="A13" s="73" t="str">
        <x:f>IF('キャディ条件'!A13="","",'キャディ条件'!A13)</x:f>
      </x:c>
      <x:c r="B13" s="74" t="str">
        <x:f>IF('キャディ条件'!A13="","",'キャディ条件'!B13)</x:f>
      </x:c>
      <x:c r="C13" s="87" t="str">
        <x:f>IF($A13="","",'キャディ条件'!K13)</x:f>
      </x:c>
      <x:c r="D13" s="87" t="str">
        <x:f>IF($A13="","",'キャディ条件'!L13)</x:f>
      </x:c>
      <x:c r="E13" s="87" t="str">
        <x:f>IF($A13="","",COUNTIF('割当シミュレーション'!$F$5:$F$19,$A13))</x:f>
      </x:c>
      <x:c r="F13" s="87" t="str">
        <x:f>IF($A13="","",COUNTIFS('割当シミュレーション'!$F$5:$F$19,$A13,'割当シミュレーション'!$C$5:$C$19,4))</x:f>
      </x:c>
      <x:c r="G13" s="89" t="str">
        <x:f>IF($A13="","",$E13*'キャディ条件'!M13+$F13*'設定・説明'!$B$8)</x:f>
      </x:c>
      <x:c r="H13" s="87" t="str">
        <x:f>IF($A13="","",$C13+$E13)</x:f>
      </x:c>
      <x:c r="I13" s="87" t="str">
        <x:f>IF($A13="","",$D13+$F13)</x:f>
      </x:c>
      <x:c r="J13" s="85" t="str">
        <x:f>IF($A13="","",'キャディ条件'!N13)</x:f>
      </x:c>
    </x:row>
    <x:row r="14">
      <x:c r="A14" s="76" t="str">
        <x:f>IF('キャディ条件'!A14="","",'キャディ条件'!A14)</x:f>
      </x:c>
      <x:c r="B14" s="77" t="str">
        <x:f>IF('キャディ条件'!A14="","",'キャディ条件'!B14)</x:f>
      </x:c>
      <x:c r="C14" s="88" t="str">
        <x:f>IF($A14="","",'キャディ条件'!K14)</x:f>
      </x:c>
      <x:c r="D14" s="88" t="str">
        <x:f>IF($A14="","",'キャディ条件'!L14)</x:f>
      </x:c>
      <x:c r="E14" s="88" t="str">
        <x:f>IF($A14="","",COUNTIF('割当シミュレーション'!$F$5:$F$19,$A14))</x:f>
      </x:c>
      <x:c r="F14" s="88" t="str">
        <x:f>IF($A14="","",COUNTIFS('割当シミュレーション'!$F$5:$F$19,$A14,'割当シミュレーション'!$C$5:$C$19,4))</x:f>
      </x:c>
      <x:c r="G14" s="90" t="str">
        <x:f>IF($A14="","",$E14*'キャディ条件'!M14+$F14*'設定・説明'!$B$8)</x:f>
      </x:c>
      <x:c r="H14" s="88" t="str">
        <x:f>IF($A14="","",$C14+$E14)</x:f>
      </x:c>
      <x:c r="I14" s="88" t="str">
        <x:f>IF($A14="","",$D14+$F14)</x:f>
      </x:c>
      <x:c r="J14" s="86" t="str">
        <x:f>IF($A14="","",'キャディ条件'!N14)</x:f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5" hidden="0" customWidth="1"/>
    <x:col min="3" max="3" width="34" hidden="0" customWidth="1"/>
    <x:col min="4" max="4" width="18" hidden="0" customWidth="1"/>
    <x:col min="5" max="5" width="44" hidden="0" customWidth="1"/>
    <x:col min="6" max="6" width="32" hidden="0" customWidth="1"/>
    <x:col min="7" max="7" width="28" hidden="0" customWidth="1"/>
    <x:col min="8" max="8" width="36" hidden="0" customWidth="1"/>
  </x:cols>
  <x:sheetData>
    <x:row r="1" ht="34" customHeight="1">
      <x:c r="A1" s="3" t="str">
        <x:v>キャディ割当シチュエーション例</x:v>
      </x:c>
      <x:c r="B1" s="3"/>
      <x:c r="C1" s="3"/>
      <x:c r="D1" s="3"/>
      <x:c r="E1" s="3"/>
      <x:c r="F1" s="3"/>
      <x:c r="G1" s="3"/>
      <x:c r="H1" s="3"/>
    </x:row>
    <x:row r="2" ht="34" customHeight="1">
      <x:c r="A2" s="5" t="str">
        <x:v>個人事情を自由記述のまま計算せず、配置に必要な制限・希望へ変換します。分類によって自動割当の扱いが変わります。</x:v>
      </x:c>
      <x:c r="B2" s="5"/>
      <x:c r="C2" s="5"/>
      <x:c r="D2" s="5"/>
      <x:c r="E2" s="5"/>
      <x:c r="F2" s="5"/>
      <x:c r="G2" s="5"/>
      <x:c r="H2" s="5"/>
    </x:row>
    <x:row r="4" ht="32" customHeight="1">
      <x:c r="A4" s="56" t="str">
        <x:v>No.</x:v>
      </x:c>
      <x:c r="B4" s="57" t="str">
        <x:v>シチュエーション</x:v>
      </x:c>
      <x:c r="C4" s="57" t="str">
        <x:v>具体例</x:v>
      </x:c>
      <x:c r="D4" s="57" t="str">
        <x:v>分類</x:v>
      </x:c>
      <x:c r="E4" s="57" t="str">
        <x:v>CourseBoardでの扱い</x:v>
      </x:c>
      <x:c r="F4" s="57" t="str">
        <x:v>自動割当への影響</x:v>
      </x:c>
      <x:c r="G4" s="57" t="str">
        <x:v>オペレーター表示</x:v>
      </x:c>
      <x:c r="H4" s="58" t="str">
        <x:v>保存・入力先</x:v>
      </x:c>
    </x:row>
    <x:row r="5" ht="56" customHeight="1">
      <x:c r="A5" s="106" t="n">
        <x:v>1</x:v>
      </x:c>
      <x:c r="B5" s="98" t="str">
        <x:v>土日しか勤務できない</x:v>
      </x:c>
      <x:c r="C5" s="98" t="str">
        <x:v>副業・学業等により土日のみ出勤可能</x:v>
      </x:c>
      <x:c r="D5" s="109" t="str">
        <x:v>Hard条件</x:v>
      </x:c>
      <x:c r="E5" s="98" t="str">
        <x:v>勤務可能日のみ候補にする。平日へ自動割当しない。</x:v>
      </x:c>
      <x:c r="F5" s="98" t="str">
        <x:v>曜日判定で候補除外</x:v>
      </x:c>
      <x:c r="G5" s="98" t="str">
        <x:v>勤務対象外（土日限定）</x:v>
      </x:c>
      <x:c r="H5" s="99" t="str">
        <x:v>Fieldの汎用勤務可否をCourseBoard UIから入力</x:v>
      </x:c>
    </x:row>
    <x:row r="6" ht="56" customHeight="1">
      <x:c r="A6" s="107" t="n">
        <x:v>2</x:v>
      </x:c>
      <x:c r="B6" s="101" t="str">
        <x:v>土日を優先したい</x:v>
      </x:c>
      <x:c r="C6" s="101" t="str">
        <x:v>平日も可能だが土日の勤務を希望</x:v>
      </x:c>
      <x:c r="D6" s="110" t="str">
        <x:v>希望</x:v>
      </x:c>
      <x:c r="E6" s="101" t="str">
        <x:v>土日の候補スコアへ加点する。人手不足時は平日も候補に残す。</x:v>
      </x:c>
      <x:c r="F6" s="101" t="str">
        <x:v>一致時に加点</x:v>
      </x:c>
      <x:c r="G6" s="101" t="str">
        <x:v>希望一致／希望未達</x:v>
      </x:c>
      <x:c r="H6" s="102" t="str">
        <x:v>CourseBoardローカルの割当希望</x:v>
      </x:c>
    </x:row>
    <x:row r="7" ht="56" customHeight="1">
      <x:c r="A7" s="107" t="n">
        <x:v>3</x:v>
      </x:c>
      <x:c r="B7" s="101" t="str">
        <x:v>勤務終了時刻がある</x:v>
      </x:c>
      <x:c r="C7" s="101" t="str">
        <x:v>送迎等のため15時まで。終了時刻を越える組は不可</x:v>
      </x:c>
      <x:c r="D7" s="110" t="str">
        <x:v>Hard条件</x:v>
      </x:c>
      <x:c r="E7" s="101" t="str">
        <x:v>開始時刻ではなくラウンド終了＋移動時間まで勤務窓内か判定する。</x:v>
      </x:c>
      <x:c r="F7" s="101" t="str">
        <x:v>勤務窓外の候補を除外</x:v>
      </x:c>
      <x:c r="G7" s="101" t="str">
        <x:v>勤務時間外</x:v>
      </x:c>
      <x:c r="H7" s="102" t="str">
        <x:v>Fieldの勤務可否。詳細時間が不足する場合は汎用capabilityを起票</x:v>
      </x:c>
    </x:row>
    <x:row r="8" ht="56" customHeight="1">
      <x:c r="A8" s="107" t="n">
        <x:v>4</x:v>
      </x:c>
      <x:c r="B8" s="101" t="str">
        <x:v>1日1ラウンドまで</x:v>
      </x:c>
      <x:c r="C8" s="101" t="str">
        <x:v>体力・契約上、1日1組のみ担当</x:v>
      </x:c>
      <x:c r="D8" s="110" t="str">
        <x:v>Hard条件</x:v>
      </x:c>
      <x:c r="E8" s="101" t="str">
        <x:v>個人の日次上限を1として扱う。</x:v>
      </x:c>
      <x:c r="F8" s="101" t="str">
        <x:v>上限到達後は候補除外</x:v>
      </x:c>
      <x:c r="G8" s="101" t="str">
        <x:v>本日の上限到達</x:v>
      </x:c>
      <x:c r="H8" s="102" t="str">
        <x:v>CourseBoardローカルのゴルフ固有の日次ラウンド上限</x:v>
      </x:c>
    </x:row>
    <x:row r="9" ht="56" customHeight="1">
      <x:c r="A9" s="107" t="n">
        <x:v>5</x:v>
      </x:c>
      <x:c r="B9" s="101" t="str">
        <x:v>2ラウンド担当したい</x:v>
      </x:c>
      <x:c r="C9" s="101" t="str">
        <x:v>当日は午前と午後の2組を担当して収入を増やしたい</x:v>
      </x:c>
      <x:c r="D9" s="110" t="str">
        <x:v>希望</x:v>
      </x:c>
      <x:c r="E9" s="101" t="str">
        <x:v>2ラウンド可能者に限り、時間が重ならない午前・午後の組をセットで優先する。</x:v>
      </x:c>
      <x:c r="F9" s="101" t="str">
        <x:v>2ラウンド成立に加点</x:v>
      </x:c>
      <x:c r="G9" s="101" t="str">
        <x:v>2ラウンド希望を考慮</x:v>
      </x:c>
      <x:c r="H9" s="102" t="str">
        <x:v>CourseBoardローカルの当日ラウンド希望。勤務時間窓はFieldの汎用availabilityを参照</x:v>
      </x:c>
    </x:row>
    <x:row r="10" ht="56" customHeight="1">
      <x:c r="A10" s="107" t="n">
        <x:v>6</x:v>
      </x:c>
      <x:c r="B10" s="101" t="str">
        <x:v>4人組を担当したい</x:v>
      </x:c>
      <x:c r="C10" s="101" t="str">
        <x:v>4人組のほうがバックが大きいため希望</x:v>
      </x:c>
      <x:c r="D10" s="110" t="str">
        <x:v>希望</x:v>
      </x:c>
      <x:c r="E10" s="101" t="str">
        <x:v>4人組に加点する。正式な給与差なら組人数別単価も別途モデル化する。</x:v>
      </x:c>
      <x:c r="F10" s="101" t="str">
        <x:v>4人組候補で加点</x:v>
      </x:c>
      <x:c r="G10" s="101" t="str">
        <x:v>人数希望一致／未達</x:v>
      </x:c>
      <x:c r="H10" s="102" t="str">
        <x:v>CourseBoardの割当希望＋組人数別報酬設定</x:v>
      </x:c>
    </x:row>
    <x:row r="11" ht="56" customHeight="1">
      <x:c r="A11" s="107" t="n">
        <x:v>7</x:v>
      </x:c>
      <x:c r="B11" s="101" t="str">
        <x:v>4人組は担当できない</x:v>
      </x:c>
      <x:c r="C11" s="101" t="str">
        <x:v>運搬負荷等により最大2人まで</x:v>
      </x:c>
      <x:c r="D11" s="110" t="str">
        <x:v>Hard条件</x:v>
      </x:c>
      <x:c r="E11" s="101" t="str">
        <x:v>理由ではなく最大組人数=2という業務制限を有効期限付きで保持する。</x:v>
      </x:c>
      <x:c r="F11" s="101" t="str">
        <x:v>3人以上の組から除外</x:v>
      </x:c>
      <x:c r="G11" s="101" t="str">
        <x:v>最大2人（詳細理由は非表示）</x:v>
      </x:c>
      <x:c r="H11" s="102" t="str">
        <x:v>CourseBoardローカルの構造化されたゴルフ運用制限</x:v>
      </x:c>
    </x:row>
    <x:row r="12" ht="56" customHeight="1">
      <x:c r="A12" s="107" t="n">
        <x:v>8</x:v>
      </x:c>
      <x:c r="B12" s="101" t="str">
        <x:v>できれば2人組がよい</x:v>
      </x:c>
      <x:c r="C12" s="101" t="str">
        <x:v>4人組も可能だが、軽い2人組を希望</x:v>
      </x:c>
      <x:c r="D12" s="110" t="str">
        <x:v>希望</x:v>
      </x:c>
      <x:c r="E12" s="101" t="str">
        <x:v>2人組に加点し、欠員時は4人組も候補に残す。</x:v>
      </x:c>
      <x:c r="F12" s="101" t="str">
        <x:v>2人組候補で加点</x:v>
      </x:c>
      <x:c r="G12" s="101" t="str">
        <x:v>希望一致／希望未達</x:v>
      </x:c>
      <x:c r="H12" s="102" t="str">
        <x:v>CourseBoardローカルの割当希望</x:v>
      </x:c>
    </x:row>
    <x:row r="13" ht="56" customHeight="1">
      <x:c r="A13" s="107" t="n">
        <x:v>9</x:v>
      </x:c>
      <x:c r="B13" s="101" t="str">
        <x:v>重い組の連続を避けたい</x:v>
      </x:c>
      <x:c r="C13" s="101" t="str">
        <x:v>4人組を2ラウンド連続では担当したくない</x:v>
      </x:c>
      <x:c r="D13" s="110" t="str">
        <x:v>公平性目標</x:v>
      </x:c>
      <x:c r="E13" s="101" t="str">
        <x:v>組人数から負荷ポイントを計算し、日次上限または連続負荷へ減点する。</x:v>
      </x:c>
      <x:c r="F13" s="101" t="str">
        <x:v>高負荷の連続を減点</x:v>
      </x:c>
      <x:c r="G13" s="101" t="str">
        <x:v>本日の負荷：高</x:v>
      </x:c>
      <x:c r="H13" s="102" t="str">
        <x:v>CourseBoardローカルの日次負荷ルール</x:v>
      </x:c>
    </x:row>
    <x:row r="14" ht="56" customHeight="1">
      <x:c r="A14" s="107" t="n">
        <x:v>10</x:v>
      </x:c>
      <x:c r="B14" s="101" t="str">
        <x:v>特定コースは担当不可</x:v>
      </x:c>
      <x:c r="C14" s="101" t="str">
        <x:v>山側コースの資格・安全条件を満たさない</x:v>
      </x:c>
      <x:c r="D14" s="110" t="str">
        <x:v>Hard条件</x:v>
      </x:c>
      <x:c r="E14" s="101" t="str">
        <x:v>担当可能コースに含まれない組は候補から外す。</x:v>
      </x:c>
      <x:c r="F14" s="101" t="str">
        <x:v>コース不一致で候補除外</x:v>
      </x:c>
      <x:c r="G14" s="101" t="str">
        <x:v>対象コース外</x:v>
      </x:c>
      <x:c r="H14" s="102" t="str">
        <x:v>CourseBoardのコース所属・能力</x:v>
      </x:c>
    </x:row>
    <x:row r="15" ht="56" customHeight="1">
      <x:c r="A15" s="107" t="n">
        <x:v>11</x:v>
      </x:c>
      <x:c r="B15" s="101" t="str">
        <x:v>得意コースを優先したい</x:v>
      </x:c>
      <x:c r="C15" s="101" t="str">
        <x:v>OUTコースの経験が多く、できればOUTを担当</x:v>
      </x:c>
      <x:c r="D15" s="110" t="str">
        <x:v>希望</x:v>
      </x:c>
      <x:c r="E15" s="101" t="str">
        <x:v>得意コースへの配置を加点する。配置済みコースとの整合を優先する。</x:v>
      </x:c>
      <x:c r="F15" s="101" t="str">
        <x:v>得意コースで加点</x:v>
      </x:c>
      <x:c r="G15" s="101" t="str">
        <x:v>得意コース一致</x:v>
      </x:c>
      <x:c r="H15" s="102" t="str">
        <x:v>CourseBoardローカルの割当希望</x:v>
      </x:c>
    </x:row>
    <x:row r="16" ht="56" customHeight="1">
      <x:c r="A16" s="107" t="n">
        <x:v>12</x:v>
      </x:c>
      <x:c r="B16" s="101" t="str">
        <x:v>特定顧客から指名</x:v>
      </x:c>
      <x:c r="C16" s="101" t="str">
        <x:v>リピーターから同じキャディを希望されている</x:v>
      </x:c>
      <x:c r="D16" s="110" t="str">
        <x:v>希望</x:v>
      </x:c>
      <x:c r="E16" s="101" t="str">
        <x:v>明示的な指名がある場合に加点する。過去履歴だけから自動推測しない。</x:v>
      </x:c>
      <x:c r="F16" s="101" t="str">
        <x:v>指名一致で加点</x:v>
      </x:c>
      <x:c r="G16" s="101" t="str">
        <x:v>お客様指名あり</x:v>
      </x:c>
      <x:c r="H16" s="102" t="str">
        <x:v>CourseBoardの予約・指名情報</x:v>
      </x:c>
    </x:row>
    <x:row r="17" ht="56" customHeight="1">
      <x:c r="A17" s="107" t="n">
        <x:v>13</x:v>
      </x:c>
      <x:c r="B17" s="101" t="str">
        <x:v>特定顧客との組合せ不可</x:v>
      </x:c>
      <x:c r="C17" s="101" t="str">
        <x:v>安全・トラブル対応として再担当させない</x:v>
      </x:c>
      <x:c r="D17" s="110" t="str">
        <x:v>Hard条件</x:v>
      </x:c>
      <x:c r="E17" s="101" t="str">
        <x:v>限定権限の除外関係として保持し、自動割当しない。詳細理由は一般画面へ出さない。</x:v>
      </x:c>
      <x:c r="F17" s="101" t="str">
        <x:v>該当組から候補除外</x:v>
      </x:c>
      <x:c r="G17" s="101" t="str">
        <x:v>担当対象外（詳細非表示）</x:v>
      </x:c>
      <x:c r="H17" s="102" t="str">
        <x:v>CourseBoardローカル。閲覧権限を限定</x:v>
      </x:c>
    </x:row>
    <x:row r="18" ht="56" customHeight="1">
      <x:c r="A18" s="107" t="n">
        <x:v>14</x:v>
      </x:c>
      <x:c r="B18" s="101" t="str">
        <x:v>新人にベテラン同行が必要</x:v>
      </x:c>
      <x:c r="C18" s="101" t="str">
        <x:v>新人を単独主担当にせず研修担当を付ける</x:v>
      </x:c>
      <x:c r="D18" s="110" t="str">
        <x:v>Hard条件／希望</x:v>
      </x:c>
      <x:c r="E18" s="101" t="str">
        <x:v>必須なら主担当＋研修担当の2役として需要化する。単なる推薦理由だけでは不足。</x:v>
      </x:c>
      <x:c r="F18" s="101" t="str">
        <x:v>2名分の配置を要求</x:v>
      </x:c>
      <x:c r="G18" s="101" t="str">
        <x:v>研修担当が必要</x:v>
      </x:c>
      <x:c r="H18" s="102" t="str">
        <x:v>CourseBoardの研修・スキルルール</x:v>
      </x:c>
    </x:row>
    <x:row r="19" ht="56" customHeight="1">
      <x:c r="A19" s="107" t="n">
        <x:v>15</x:v>
      </x:c>
      <x:c r="B19" s="101" t="str">
        <x:v>月間収入が少ない人を優先</x:v>
      </x:c>
      <x:c r="C19" s="101" t="str">
        <x:v>同条件なら今月の担当数・見込バックが少ない人へ回す</x:v>
      </x:c>
      <x:c r="D19" s="110" t="str">
        <x:v>公平性目標</x:v>
      </x:c>
      <x:c r="E19" s="101" t="str">
        <x:v>未割当を増やさない範囲で、月間担当数・4人組数・見込報酬の偏りを減らす。</x:v>
      </x:c>
      <x:c r="F19" s="101" t="str">
        <x:v>実績が多い候補を減点</x:v>
      </x:c>
      <x:c r="G19" s="101" t="str">
        <x:v>公平性調整</x:v>
      </x:c>
      <x:c r="H19" s="102" t="str">
        <x:v>CourseBoardの集計結果。給与の正は既存SoRを参照</x:v>
      </x:c>
    </x:row>
    <x:row r="20" ht="56" customHeight="1">
      <x:c r="A20" s="107" t="n">
        <x:v>16</x:v>
      </x:c>
      <x:c r="B20" s="101" t="str">
        <x:v>別業務が入っている</x:v>
      </x:c>
      <x:c r="C20" s="101" t="str">
        <x:v>午前はコース整備、午後のみラウンド可</x:v>
      </x:c>
      <x:c r="D20" s="110" t="str">
        <x:v>Hard条件</x:v>
      </x:c>
      <x:c r="E20" s="101" t="str">
        <x:v>別業務とラウンド占有時間を半開区間で比較し、重なる組を拒否する。</x:v>
      </x:c>
      <x:c r="F20" s="101" t="str">
        <x:v>重なる時間だけ候補除外</x:v>
      </x:c>
      <x:c r="G20" s="101" t="str">
        <x:v>別業務と重複</x:v>
      </x:c>
      <x:c r="H20" s="102" t="str">
        <x:v>CourseBoardローカルの別業務割当</x:v>
      </x:c>
    </x:row>
    <x:row r="21" ht="56" customHeight="1">
      <x:c r="A21" s="107" t="n">
        <x:v>17</x:v>
      </x:c>
      <x:c r="B21" s="101" t="str">
        <x:v>まだ打刻していない</x:v>
      </x:c>
      <x:c r="C21" s="101" t="str">
        <x:v>事前計画時点では未打刻、当日開始時点でも未打刻</x:v>
      </x:c>
      <x:c r="D21" s="110" t="str">
        <x:v>警告</x:v>
      </x:c>
      <x:c r="E21" s="101" t="str">
        <x:v>事前計画では除外せず、当日運用では警告する。退勤済みは別扱い。</x:v>
      </x:c>
      <x:c r="F21" s="101" t="str">
        <x:v>原則スコア低下または警告</x:v>
      </x:c>
      <x:c r="G21" s="101" t="str">
        <x:v>未打刻</x:v>
      </x:c>
      <x:c r="H21" s="102" t="str">
        <x:v>Fieldの出退勤snapshot</x:v>
      </x:c>
    </x:row>
    <x:row r="22" ht="56" customHeight="1">
      <x:c r="A22" s="107" t="n">
        <x:v>18</x:v>
      </x:c>
      <x:c r="B22" s="101" t="str">
        <x:v>希望提出がない</x:v>
      </x:c>
      <x:c r="C22" s="101" t="str">
        <x:v>締切後も当月の休み希望が未提出</x:v>
      </x:c>
      <x:c r="D22" s="110" t="str">
        <x:v>警告</x:v>
      </x:c>
      <x:c r="E22" s="101" t="str">
        <x:v>テナントの未提出時ポリシーに従い、暗黙の出勤扱いを可視化する。</x:v>
      </x:c>
      <x:c r="F22" s="101" t="str">
        <x:v>候補には残すが警告</x:v>
      </x:c>
      <x:c r="G22" s="101" t="str">
        <x:v>希望未提出</x:v>
      </x:c>
      <x:c r="H22" s="102" t="str">
        <x:v>Fieldのavailability＋CourseBoardの締切</x:v>
      </x:c>
    </x:row>
    <x:row r="23" ht="56" customHeight="1">
      <x:c r="A23" s="107" t="n">
        <x:v>19</x:v>
      </x:c>
      <x:c r="B23" s="101" t="str">
        <x:v>手動で担当を固定</x:v>
      </x:c>
      <x:c r="C23" s="101" t="str">
        <x:v>責任者判断でこの組はこの人に決定</x:v>
      </x:c>
      <x:c r="D23" s="110" t="str">
        <x:v>手動固定</x:v>
      </x:c>
      <x:c r="E23" s="101" t="str">
        <x:v>再計算時も固定を保持する。変更者・時刻・理由を監査記録へ残す。</x:v>
      </x:c>
      <x:c r="F23" s="101" t="str">
        <x:v>固定済みを先に確保</x:v>
      </x:c>
      <x:c r="G23" s="101" t="str">
        <x:v>手動固定</x:v>
      </x:c>
      <x:c r="H23" s="102" t="str">
        <x:v>CourseBoardの割当・監査記録</x:v>
      </x:c>
    </x:row>
    <x:row r="24" ht="56" customHeight="1">
      <x:c r="A24" s="108" t="n">
        <x:v>20</x:v>
      </x:c>
      <x:c r="B24" s="104" t="str">
        <x:v>一時的な軽作業制限</x:v>
      </x:c>
      <x:c r="C24" s="104" t="str">
        <x:v>一定期間だけ2人組・平坦コースに限定</x:v>
      </x:c>
      <x:c r="D24" s="111" t="str">
        <x:v>Hard条件</x:v>
      </x:c>
      <x:c r="E24" s="104" t="str">
        <x:v>病名等は保存せず、最大人数・コース・有効期限だけを保持する。期限切れをレビュー対象にする。</x:v>
      </x:c>
      <x:c r="F24" s="104" t="str">
        <x:v>有効期間中だけ候補制限</x:v>
      </x:c>
      <x:c r="G24" s="104" t="str">
        <x:v>一時制限あり（期限表示）</x:v>
      </x:c>
      <x:c r="H24" s="105" t="str">
        <x:v>CourseBoardローカル。詳細理由は限定管理</x:v>
      </x:c>
    </x:row>
    <x:row r="26" ht="32" customHeight="1">
      <x:c r="A26" s="49" t="str">
        <x:v>運用原則：安全・勤務不可・時間重複は自動上書きしない。希望は未達を許容し、公平性は未割当を増やさない範囲で調整する。</x:v>
      </x:c>
      <x:c r="B26" s="49"/>
      <x:c r="C26" s="49"/>
      <x:c r="D26" s="49"/>
      <x:c r="E26" s="49"/>
      <x:c r="F26" s="49"/>
      <x:c r="G26" s="49"/>
      <x:c r="H26" s="49"/>
    </x:row>
  </x:sheetData>
  <x:mergeCells>
    <x:mergeCell ref="A1:H1"/>
    <x:mergeCell ref="A2:H2"/>
    <x:mergeCell ref="A26:H26"/>
  </x:mergeCells>
  <x:conditionalFormatting sqref="D5:D24">
    <x:cfRule type="containsText" dxfId="4" priority="1" operator="containsText" text="Hard条件"/>
    <x:cfRule type="containsText" dxfId="5" priority="2" operator="containsText" text="希望"/>
    <x:cfRule type="containsText" dxfId="6" priority="3" operator="containsText" text="公平性目標"/>
    <x:cfRule type="containsText" dxfId="7" priority="4" operator="containsText" text="警告"/>
    <x:cfRule type="containsText" dxfId="8" priority="5" operator="containsText" text="手動固定"/>
  </x:conditionalFormatting>
  <x:pageMargins left="0.7" right="0.7" top="0.75" bottom="0.75" header="0.3" footer="0.3"/>
</x:worksheet>
</file>